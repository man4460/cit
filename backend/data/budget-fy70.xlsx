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bankofthailand-my.sharepoint.com/personal/rohmanh_bot_or_th/Documents/01-ศอก/02_งบประมาณ/2570/ขอตั้งงบ 70/สรุปนำเสนอ/"/>
    </mc:Choice>
  </mc:AlternateContent>
  <xr:revisionPtr revIDLastSave="0" documentId="8_{CD224D73-6F43-415E-825F-39ECD481C8EF}" xr6:coauthVersionLast="47" xr6:coauthVersionMax="47" xr10:uidLastSave="{00000000-0000-0000-0000-000000000000}"/>
  <bookViews>
    <workbookView xWindow="-98" yWindow="-98" windowWidth="19396" windowHeight="11475" xr2:uid="{6148A316-6B43-4901-850F-8A8974CF721D}"/>
  </bookViews>
  <sheets>
    <sheet name="คำขอปึ70" sheetId="2" r:id="rId1"/>
    <sheet name="คำขอปึ70 (หัวข้อแบบเสนอ ผผ)" sheetId="9" state="hidden" r:id="rId2"/>
    <sheet name="คำขอปึ70คชจ" sheetId="7" state="hidden" r:id="rId3"/>
    <sheet name="คำขอปึ70ครุภัณฑ์" sheetId="8" state="hidden" r:id="rId4"/>
    <sheet name="สรุปใช้งบ 31กค" sheetId="4" state="hidden" r:id="rId5"/>
    <sheet name="ผลพิ69-สรุป" sheetId="3" state="hidden" r:id="rId6"/>
    <sheet name="Dataผลพิปี69" sheetId="6"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xlnm.Print_Area" localSheetId="0">คำขอปึ70!$D$1:$U$83</definedName>
    <definedName name="_xlnm.Print_Area" localSheetId="1">'คำขอปึ70 (หัวข้อแบบเสนอ ผผ)'!$D$1:$U$81</definedName>
    <definedName name="_xlnm.Print_Area" localSheetId="2">คำขอปึ70คชจ!$D$1:$U$81</definedName>
    <definedName name="_xlnm.Print_Area" localSheetId="3">คำขอปึ70ครุภัณฑ์!$D$1:$U$81</definedName>
    <definedName name="_xlnm.Print_Titles" localSheetId="0">คำขอปึ70!$3:$4</definedName>
    <definedName name="_xlnm.Print_Titles" localSheetId="1">'คำขอปึ70 (หัวข้อแบบเสนอ ผผ)'!$3:$4</definedName>
    <definedName name="_xlnm.Print_Titles" localSheetId="2">คำขอปึ70คชจ!$3:$4</definedName>
    <definedName name="_xlnm.Print_Titles" localSheetId="3">คำขอปึ70ครุภัณฑ์!$3:$4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28" i="2" l="1"/>
  <c r="K54" i="2"/>
  <c r="U24" i="2"/>
  <c r="U25" i="2"/>
  <c r="O16" i="2"/>
  <c r="N55" i="2" l="1"/>
  <c r="O55" i="2"/>
  <c r="Q55" i="2" s="1"/>
  <c r="P55" i="2"/>
  <c r="N56" i="2"/>
  <c r="O56" i="2"/>
  <c r="Q56" i="2" s="1"/>
  <c r="N57" i="2"/>
  <c r="O57" i="2"/>
  <c r="P57" i="2"/>
  <c r="Q57" i="2"/>
  <c r="X23" i="2"/>
  <c r="P56" i="2" l="1"/>
  <c r="W23" i="2"/>
  <c r="P86" i="9"/>
  <c r="O86" i="9"/>
  <c r="R86" i="9" s="1"/>
  <c r="N86" i="9"/>
  <c r="U80" i="9"/>
  <c r="T80" i="9"/>
  <c r="S80" i="9"/>
  <c r="M80" i="9"/>
  <c r="N80" i="9" s="1"/>
  <c r="L80" i="9"/>
  <c r="R80" i="9" s="1"/>
  <c r="I80" i="9"/>
  <c r="F80" i="9"/>
  <c r="U79" i="9"/>
  <c r="T79" i="9"/>
  <c r="S79" i="9"/>
  <c r="R79" i="9"/>
  <c r="Q79" i="9"/>
  <c r="N79" i="9"/>
  <c r="M79" i="9"/>
  <c r="L79" i="9"/>
  <c r="I79" i="9"/>
  <c r="F79" i="9"/>
  <c r="U78" i="9"/>
  <c r="T78" i="9"/>
  <c r="S78" i="9"/>
  <c r="M78" i="9"/>
  <c r="N78" i="9" s="1"/>
  <c r="L78" i="9"/>
  <c r="R78" i="9" s="1"/>
  <c r="I78" i="9"/>
  <c r="U77" i="9"/>
  <c r="T77" i="9"/>
  <c r="S77" i="9"/>
  <c r="N77" i="9"/>
  <c r="L77" i="9"/>
  <c r="Q77" i="9" s="1"/>
  <c r="I77" i="9"/>
  <c r="U76" i="9"/>
  <c r="T76" i="9"/>
  <c r="S76" i="9"/>
  <c r="R76" i="9"/>
  <c r="Q76" i="9"/>
  <c r="M76" i="9"/>
  <c r="N76" i="9" s="1"/>
  <c r="L76" i="9"/>
  <c r="I76" i="9"/>
  <c r="U75" i="9"/>
  <c r="T75" i="9"/>
  <c r="S75" i="9"/>
  <c r="Q75" i="9"/>
  <c r="M75" i="9"/>
  <c r="N75" i="9" s="1"/>
  <c r="L75" i="9"/>
  <c r="R75" i="9" s="1"/>
  <c r="I75" i="9"/>
  <c r="U74" i="9"/>
  <c r="T74" i="9"/>
  <c r="S74" i="9"/>
  <c r="M74" i="9"/>
  <c r="N74" i="9" s="1"/>
  <c r="L74" i="9"/>
  <c r="R74" i="9" s="1"/>
  <c r="I74" i="9"/>
  <c r="U73" i="9"/>
  <c r="T73" i="9"/>
  <c r="S73" i="9"/>
  <c r="R73" i="9"/>
  <c r="Q73" i="9"/>
  <c r="N73" i="9"/>
  <c r="M73" i="9"/>
  <c r="L73" i="9"/>
  <c r="I73" i="9"/>
  <c r="U72" i="9"/>
  <c r="T72" i="9"/>
  <c r="Q72" i="9"/>
  <c r="U71" i="9"/>
  <c r="T71" i="9"/>
  <c r="S71" i="9"/>
  <c r="M71" i="9"/>
  <c r="N71" i="9" s="1"/>
  <c r="L71" i="9"/>
  <c r="R71" i="9" s="1"/>
  <c r="I71" i="9"/>
  <c r="U70" i="9"/>
  <c r="T70" i="9"/>
  <c r="S70" i="9"/>
  <c r="M70" i="9"/>
  <c r="L70" i="9"/>
  <c r="I70" i="9" s="1"/>
  <c r="U69" i="9"/>
  <c r="T69" i="9"/>
  <c r="S69" i="9"/>
  <c r="I69" i="9"/>
  <c r="L69" i="9" s="1"/>
  <c r="L40" i="9" s="1"/>
  <c r="N68" i="9"/>
  <c r="J68" i="9"/>
  <c r="O68" i="9" s="1"/>
  <c r="N67" i="9"/>
  <c r="K67" i="9"/>
  <c r="O67" i="9" s="1"/>
  <c r="N66" i="9"/>
  <c r="J66" i="9"/>
  <c r="O66" i="9" s="1"/>
  <c r="O65" i="9"/>
  <c r="Q65" i="9" s="1"/>
  <c r="L65" i="9"/>
  <c r="M65" i="9" s="1"/>
  <c r="K65" i="9"/>
  <c r="I65" i="9"/>
  <c r="O64" i="9"/>
  <c r="R64" i="9" s="1"/>
  <c r="N64" i="9"/>
  <c r="N63" i="9"/>
  <c r="K63" i="9"/>
  <c r="O63" i="9" s="1"/>
  <c r="R62" i="9"/>
  <c r="N62" i="9"/>
  <c r="K62" i="9"/>
  <c r="O62" i="9" s="1"/>
  <c r="P62" i="9" s="1"/>
  <c r="N61" i="9"/>
  <c r="K61" i="9"/>
  <c r="O61" i="9" s="1"/>
  <c r="F61" i="9"/>
  <c r="N60" i="9"/>
  <c r="K60" i="9"/>
  <c r="O60" i="9" s="1"/>
  <c r="R60" i="9" s="1"/>
  <c r="N59" i="9"/>
  <c r="K59" i="9"/>
  <c r="O59" i="9" s="1"/>
  <c r="O58" i="9"/>
  <c r="R58" i="9" s="1"/>
  <c r="N58" i="9"/>
  <c r="K58" i="9"/>
  <c r="N57" i="9"/>
  <c r="K57" i="9"/>
  <c r="O57" i="9" s="1"/>
  <c r="R56" i="9"/>
  <c r="Q56" i="9"/>
  <c r="O56" i="9"/>
  <c r="P56" i="9" s="1"/>
  <c r="M56" i="9"/>
  <c r="N56" i="9" s="1"/>
  <c r="L56" i="9"/>
  <c r="K56" i="9"/>
  <c r="N55" i="9"/>
  <c r="K55" i="9"/>
  <c r="O55" i="9" s="1"/>
  <c r="O54" i="9"/>
  <c r="R54" i="9" s="1"/>
  <c r="N54" i="9"/>
  <c r="R53" i="9"/>
  <c r="N53" i="9"/>
  <c r="K53" i="9"/>
  <c r="O53" i="9" s="1"/>
  <c r="P53" i="9" s="1"/>
  <c r="N52" i="9"/>
  <c r="K52" i="9"/>
  <c r="O52" i="9" s="1"/>
  <c r="O51" i="9"/>
  <c r="R51" i="9" s="1"/>
  <c r="M51" i="9"/>
  <c r="N51" i="9" s="1"/>
  <c r="L51" i="9"/>
  <c r="K51" i="9"/>
  <c r="J51" i="9"/>
  <c r="I51" i="9"/>
  <c r="H51" i="9"/>
  <c r="N50" i="9"/>
  <c r="K50" i="9"/>
  <c r="O50" i="9" s="1"/>
  <c r="N49" i="9"/>
  <c r="K49" i="9"/>
  <c r="O49" i="9" s="1"/>
  <c r="R49" i="9" s="1"/>
  <c r="N48" i="9"/>
  <c r="K48" i="9"/>
  <c r="O48" i="9" s="1"/>
  <c r="N47" i="9"/>
  <c r="K47" i="9"/>
  <c r="O47" i="9" s="1"/>
  <c r="P47" i="9" s="1"/>
  <c r="O46" i="9"/>
  <c r="R46" i="9" s="1"/>
  <c r="N46" i="9"/>
  <c r="K46" i="9"/>
  <c r="J46" i="9"/>
  <c r="F46" i="9"/>
  <c r="R45" i="9"/>
  <c r="Q45" i="9"/>
  <c r="O45" i="9"/>
  <c r="P45" i="9" s="1"/>
  <c r="M45" i="9"/>
  <c r="N45" i="9" s="1"/>
  <c r="L45" i="9"/>
  <c r="I45" i="9"/>
  <c r="O44" i="9"/>
  <c r="R44" i="9" s="1"/>
  <c r="N44" i="9"/>
  <c r="K44" i="9"/>
  <c r="N43" i="9"/>
  <c r="K43" i="9"/>
  <c r="O43" i="9" s="1"/>
  <c r="N42" i="9"/>
  <c r="K42" i="9"/>
  <c r="O42" i="9" s="1"/>
  <c r="R41" i="9"/>
  <c r="Q41" i="9"/>
  <c r="P41" i="9"/>
  <c r="N41" i="9"/>
  <c r="K41" i="9"/>
  <c r="O41" i="9" s="1"/>
  <c r="R39" i="9"/>
  <c r="Q39" i="9"/>
  <c r="P39" i="9"/>
  <c r="O39" i="9"/>
  <c r="M39" i="9"/>
  <c r="N39" i="9" s="1"/>
  <c r="L39" i="9"/>
  <c r="U38" i="9"/>
  <c r="O38" i="9"/>
  <c r="R38" i="9" s="1"/>
  <c r="L38" i="9"/>
  <c r="M38" i="9" s="1"/>
  <c r="N38" i="9" s="1"/>
  <c r="W37" i="9"/>
  <c r="U37" i="9"/>
  <c r="O37" i="9"/>
  <c r="M37" i="9"/>
  <c r="N37" i="9" s="1"/>
  <c r="L37" i="9"/>
  <c r="O36" i="9"/>
  <c r="R36" i="9" s="1"/>
  <c r="M36" i="9"/>
  <c r="N36" i="9" s="1"/>
  <c r="L36" i="9"/>
  <c r="O35" i="9"/>
  <c r="L35" i="9"/>
  <c r="N35" i="9" s="1"/>
  <c r="O34" i="9"/>
  <c r="Q34" i="9" s="1"/>
  <c r="L34" i="9"/>
  <c r="N34" i="9" s="1"/>
  <c r="O33" i="9"/>
  <c r="Q33" i="9" s="1"/>
  <c r="L33" i="9"/>
  <c r="N33" i="9" s="1"/>
  <c r="O32" i="9"/>
  <c r="Q32" i="9" s="1"/>
  <c r="L32" i="9"/>
  <c r="L31" i="9" s="1"/>
  <c r="M31" i="9"/>
  <c r="O30" i="9"/>
  <c r="M30" i="9"/>
  <c r="N30" i="9" s="1"/>
  <c r="L30" i="9"/>
  <c r="R29" i="9"/>
  <c r="Q29" i="9"/>
  <c r="P29" i="9"/>
  <c r="O29" i="9"/>
  <c r="M29" i="9"/>
  <c r="N29" i="9" s="1"/>
  <c r="L29" i="9"/>
  <c r="O28" i="9"/>
  <c r="Q28" i="9" s="1"/>
  <c r="M28" i="9"/>
  <c r="N28" i="9" s="1"/>
  <c r="L28" i="9"/>
  <c r="R27" i="9"/>
  <c r="Q27" i="9"/>
  <c r="P27" i="9"/>
  <c r="O27" i="9"/>
  <c r="N27" i="9"/>
  <c r="O26" i="9"/>
  <c r="N26" i="9"/>
  <c r="U25" i="9"/>
  <c r="R25" i="9"/>
  <c r="O25" i="9"/>
  <c r="Q25" i="9" s="1"/>
  <c r="N25" i="9"/>
  <c r="U24" i="9"/>
  <c r="O24" i="9"/>
  <c r="R24" i="9" s="1"/>
  <c r="N24" i="9"/>
  <c r="T23" i="9"/>
  <c r="O23" i="9"/>
  <c r="R23" i="9" s="1"/>
  <c r="N23" i="9"/>
  <c r="M23" i="9"/>
  <c r="L23" i="9"/>
  <c r="O22" i="9"/>
  <c r="M22" i="9"/>
  <c r="N22" i="9" s="1"/>
  <c r="L22" i="9"/>
  <c r="O21" i="9"/>
  <c r="O20" i="9" s="1"/>
  <c r="M21" i="9"/>
  <c r="M20" i="9" s="1"/>
  <c r="L21" i="9"/>
  <c r="L20" i="9" s="1"/>
  <c r="W19" i="9"/>
  <c r="U19" i="9"/>
  <c r="O19" i="9"/>
  <c r="O14" i="9" s="1"/>
  <c r="M19" i="9"/>
  <c r="N19" i="9" s="1"/>
  <c r="L19" i="9"/>
  <c r="W18" i="9"/>
  <c r="U18" i="9"/>
  <c r="R18" i="9"/>
  <c r="O18" i="9"/>
  <c r="Q18" i="9" s="1"/>
  <c r="M18" i="9"/>
  <c r="N18" i="9" s="1"/>
  <c r="L18" i="9"/>
  <c r="W17" i="9"/>
  <c r="U17" i="9"/>
  <c r="O17" i="9"/>
  <c r="M17" i="9"/>
  <c r="L17" i="9"/>
  <c r="R17" i="9" s="1"/>
  <c r="W16" i="9"/>
  <c r="U16" i="9"/>
  <c r="O16" i="9"/>
  <c r="R16" i="9" s="1"/>
  <c r="M16" i="9"/>
  <c r="N16" i="9" s="1"/>
  <c r="L16" i="9"/>
  <c r="Y15" i="9"/>
  <c r="X15" i="9"/>
  <c r="W15" i="9"/>
  <c r="U15" i="9"/>
  <c r="R15" i="9"/>
  <c r="Q15" i="9"/>
  <c r="P15" i="9"/>
  <c r="O15" i="9"/>
  <c r="M15" i="9"/>
  <c r="N15" i="9" s="1"/>
  <c r="L15" i="9"/>
  <c r="Y14" i="9"/>
  <c r="X14" i="9"/>
  <c r="O13" i="9"/>
  <c r="P13" i="9" s="1"/>
  <c r="N13" i="9"/>
  <c r="M13" i="9"/>
  <c r="L13" i="9"/>
  <c r="O12" i="9"/>
  <c r="M12" i="9"/>
  <c r="N12" i="9" s="1"/>
  <c r="L12" i="9"/>
  <c r="O11" i="9"/>
  <c r="R11" i="9" s="1"/>
  <c r="N11" i="9"/>
  <c r="M10" i="9"/>
  <c r="L10" i="9"/>
  <c r="O9" i="9"/>
  <c r="R9" i="9" s="1"/>
  <c r="M9" i="9"/>
  <c r="N9" i="9" s="1"/>
  <c r="L9" i="9"/>
  <c r="O8" i="9"/>
  <c r="M8" i="9"/>
  <c r="L8" i="9"/>
  <c r="L6" i="9" s="1"/>
  <c r="R7" i="9"/>
  <c r="O7" i="9"/>
  <c r="O6" i="9" s="1"/>
  <c r="M7" i="9"/>
  <c r="N7" i="9" s="1"/>
  <c r="L7" i="9"/>
  <c r="T5" i="9"/>
  <c r="C1" i="9"/>
  <c r="B1" i="9"/>
  <c r="U23" i="9" l="1"/>
  <c r="R33" i="9"/>
  <c r="M14" i="9"/>
  <c r="R13" i="9"/>
  <c r="Q13" i="9"/>
  <c r="N65" i="9"/>
  <c r="M40" i="9"/>
  <c r="O40" i="9"/>
  <c r="R42" i="9"/>
  <c r="P42" i="9"/>
  <c r="Q42" i="9"/>
  <c r="N20" i="9"/>
  <c r="R6" i="9"/>
  <c r="R61" i="9"/>
  <c r="P61" i="9"/>
  <c r="Q61" i="9" s="1"/>
  <c r="R67" i="9"/>
  <c r="Q67" i="9"/>
  <c r="P67" i="9"/>
  <c r="R52" i="9"/>
  <c r="Q52" i="9"/>
  <c r="P52" i="9"/>
  <c r="R48" i="9"/>
  <c r="Q48" i="9"/>
  <c r="P48" i="9"/>
  <c r="W48" i="9"/>
  <c r="R63" i="9"/>
  <c r="Q63" i="9"/>
  <c r="P63" i="9"/>
  <c r="R50" i="9"/>
  <c r="Q50" i="9"/>
  <c r="P50" i="9"/>
  <c r="R14" i="9"/>
  <c r="Q14" i="9"/>
  <c r="P14" i="9"/>
  <c r="R59" i="9"/>
  <c r="Q59" i="9"/>
  <c r="P59" i="9"/>
  <c r="P19" i="9"/>
  <c r="R21" i="9"/>
  <c r="R47" i="9"/>
  <c r="P58" i="9"/>
  <c r="L14" i="9"/>
  <c r="R34" i="9"/>
  <c r="Q8" i="9"/>
  <c r="Q23" i="9"/>
  <c r="R65" i="9"/>
  <c r="N69" i="9"/>
  <c r="P23" i="9"/>
  <c r="Q11" i="9"/>
  <c r="N21" i="9"/>
  <c r="R19" i="9"/>
  <c r="U14" i="9"/>
  <c r="U5" i="9" s="1"/>
  <c r="Q17" i="9"/>
  <c r="Q19" i="9"/>
  <c r="P34" i="9"/>
  <c r="P44" i="9"/>
  <c r="Q49" i="9"/>
  <c r="P49" i="9"/>
  <c r="P65" i="9"/>
  <c r="N8" i="9"/>
  <c r="P11" i="9"/>
  <c r="Q44" i="9"/>
  <c r="P46" i="9"/>
  <c r="R57" i="9"/>
  <c r="P57" i="9"/>
  <c r="Q57" i="9"/>
  <c r="P60" i="9"/>
  <c r="Q69" i="9"/>
  <c r="N17" i="9"/>
  <c r="R26" i="9"/>
  <c r="Q26" i="9"/>
  <c r="P26" i="9"/>
  <c r="R37" i="9"/>
  <c r="Q46" i="9"/>
  <c r="P51" i="9"/>
  <c r="P54" i="9"/>
  <c r="Q60" i="9"/>
  <c r="R69" i="9"/>
  <c r="Q71" i="9"/>
  <c r="R8" i="9"/>
  <c r="W14" i="9"/>
  <c r="R20" i="9"/>
  <c r="Q20" i="9"/>
  <c r="P20" i="9"/>
  <c r="N32" i="9"/>
  <c r="Q51" i="9"/>
  <c r="Q54" i="9"/>
  <c r="R66" i="9"/>
  <c r="Q66" i="9"/>
  <c r="P66" i="9"/>
  <c r="P21" i="9"/>
  <c r="O31" i="9"/>
  <c r="O5" i="9" s="1"/>
  <c r="M6" i="9"/>
  <c r="Q21" i="9"/>
  <c r="P32" i="9"/>
  <c r="R35" i="9"/>
  <c r="Q47" i="9"/>
  <c r="R55" i="9"/>
  <c r="P55" i="9"/>
  <c r="Q55" i="9"/>
  <c r="U40" i="9"/>
  <c r="U81" i="9" s="1"/>
  <c r="Q12" i="9"/>
  <c r="R12" i="9"/>
  <c r="R32" i="9"/>
  <c r="Q58" i="9"/>
  <c r="Q70" i="9"/>
  <c r="R70" i="9"/>
  <c r="P9" i="9"/>
  <c r="P12" i="9"/>
  <c r="Q43" i="9"/>
  <c r="P43" i="9"/>
  <c r="N70" i="9"/>
  <c r="Q9" i="9"/>
  <c r="R30" i="9"/>
  <c r="P38" i="9"/>
  <c r="Q6" i="9"/>
  <c r="P6" i="9"/>
  <c r="P16" i="9"/>
  <c r="R22" i="9"/>
  <c r="P30" i="9"/>
  <c r="P36" i="9"/>
  <c r="Q38" i="9"/>
  <c r="R43" i="9"/>
  <c r="Q78" i="9"/>
  <c r="P7" i="9"/>
  <c r="R10" i="9"/>
  <c r="Q10" i="9"/>
  <c r="P10" i="9"/>
  <c r="Q16" i="9"/>
  <c r="P18" i="9"/>
  <c r="P25" i="9"/>
  <c r="R28" i="9"/>
  <c r="Q30" i="9"/>
  <c r="Q36" i="9"/>
  <c r="Q68" i="9"/>
  <c r="P68" i="9"/>
  <c r="R68" i="9"/>
  <c r="Q7" i="9"/>
  <c r="N10" i="9"/>
  <c r="P28" i="9"/>
  <c r="N31" i="9"/>
  <c r="Q53" i="9"/>
  <c r="Q62" i="9"/>
  <c r="P64" i="9"/>
  <c r="Q37" i="9"/>
  <c r="Q64" i="9"/>
  <c r="R77" i="9"/>
  <c r="Q80" i="9"/>
  <c r="P35" i="9"/>
  <c r="P37" i="9"/>
  <c r="P22" i="9"/>
  <c r="P24" i="9"/>
  <c r="Q35" i="9"/>
  <c r="P8" i="9"/>
  <c r="P17" i="9"/>
  <c r="Q22" i="9"/>
  <c r="Q24" i="9"/>
  <c r="P33" i="9"/>
  <c r="Q74" i="9"/>
  <c r="N14" i="9" l="1"/>
  <c r="R40" i="9"/>
  <c r="Q40" i="9"/>
  <c r="P40" i="9"/>
  <c r="O81" i="9"/>
  <c r="N40" i="9"/>
  <c r="W44" i="9"/>
  <c r="L5" i="9"/>
  <c r="L81" i="9" s="1"/>
  <c r="N6" i="9"/>
  <c r="M5" i="9"/>
  <c r="N5" i="9" s="1"/>
  <c r="R31" i="9"/>
  <c r="Q31" i="9"/>
  <c r="P31" i="9"/>
  <c r="M81" i="9" l="1"/>
  <c r="N81" i="9" s="1"/>
  <c r="R81" i="9"/>
  <c r="Q81" i="9"/>
  <c r="P81" i="9"/>
  <c r="R5" i="9"/>
  <c r="P5" i="9"/>
  <c r="Q5" i="9"/>
  <c r="W19" i="2" l="1"/>
  <c r="U19" i="2" s="1"/>
  <c r="W18" i="2"/>
  <c r="U18" i="2" s="1"/>
  <c r="W17" i="2"/>
  <c r="U17" i="2" s="1"/>
  <c r="W16" i="2"/>
  <c r="U16" i="2" s="1"/>
  <c r="O19" i="2"/>
  <c r="O18" i="2"/>
  <c r="O17" i="2"/>
  <c r="O13" i="2" l="1"/>
  <c r="K49" i="2" l="1"/>
  <c r="O45" i="2" l="1"/>
  <c r="O39" i="2" l="1"/>
  <c r="O34" i="2"/>
  <c r="K47" i="2"/>
  <c r="K65" i="2"/>
  <c r="O47" i="2" l="1"/>
  <c r="O8" i="2" l="1"/>
  <c r="O9" i="2" l="1"/>
  <c r="L79" i="2" l="1"/>
  <c r="N79" i="2" s="1"/>
  <c r="N11" i="2"/>
  <c r="N24" i="2"/>
  <c r="N25" i="2"/>
  <c r="N26" i="2"/>
  <c r="N27" i="2"/>
  <c r="N41" i="2"/>
  <c r="N42" i="2"/>
  <c r="N43" i="2"/>
  <c r="N44" i="2"/>
  <c r="N46" i="2"/>
  <c r="N47" i="2"/>
  <c r="N48" i="2"/>
  <c r="N49" i="2"/>
  <c r="N50" i="2"/>
  <c r="N52" i="2"/>
  <c r="N53" i="2"/>
  <c r="N54" i="2"/>
  <c r="N59" i="2"/>
  <c r="N60" i="2"/>
  <c r="N61" i="2"/>
  <c r="N62" i="2"/>
  <c r="N63" i="2"/>
  <c r="N64" i="2"/>
  <c r="N65" i="2"/>
  <c r="N66" i="2"/>
  <c r="N68" i="2"/>
  <c r="N69" i="2"/>
  <c r="N70" i="2"/>
  <c r="J10" i="4" l="1"/>
  <c r="K10" i="4"/>
  <c r="L11" i="4"/>
  <c r="Q61" i="8" l="1"/>
  <c r="O86" i="8"/>
  <c r="R86" i="8" s="1"/>
  <c r="N86" i="8"/>
  <c r="U80" i="8"/>
  <c r="T80" i="8"/>
  <c r="S80" i="8"/>
  <c r="L80" i="8"/>
  <c r="I80" i="8"/>
  <c r="F80" i="8"/>
  <c r="D80" i="8"/>
  <c r="N80" i="8" s="1"/>
  <c r="U79" i="8"/>
  <c r="T79" i="8"/>
  <c r="S79" i="8"/>
  <c r="Q79" i="8"/>
  <c r="L79" i="8"/>
  <c r="R79" i="8" s="1"/>
  <c r="I79" i="8"/>
  <c r="F79" i="8"/>
  <c r="D79" i="8"/>
  <c r="N79" i="8" s="1"/>
  <c r="U78" i="8"/>
  <c r="T78" i="8"/>
  <c r="S78" i="8"/>
  <c r="L78" i="8"/>
  <c r="R78" i="8" s="1"/>
  <c r="I78" i="8"/>
  <c r="D78" i="8"/>
  <c r="N78" i="8" s="1"/>
  <c r="U77" i="8"/>
  <c r="T77" i="8"/>
  <c r="S77" i="8"/>
  <c r="R77" i="8"/>
  <c r="Q77" i="8"/>
  <c r="N77" i="8"/>
  <c r="L77" i="8"/>
  <c r="I77" i="8" s="1"/>
  <c r="D77" i="8"/>
  <c r="U76" i="8"/>
  <c r="T76" i="8"/>
  <c r="S76" i="8"/>
  <c r="L76" i="8"/>
  <c r="I76" i="8" s="1"/>
  <c r="D76" i="8"/>
  <c r="N76" i="8" s="1"/>
  <c r="U75" i="8"/>
  <c r="T75" i="8"/>
  <c r="S75" i="8"/>
  <c r="Q75" i="8"/>
  <c r="L75" i="8"/>
  <c r="R75" i="8" s="1"/>
  <c r="I75" i="8"/>
  <c r="D75" i="8"/>
  <c r="N75" i="8" s="1"/>
  <c r="U74" i="8"/>
  <c r="T74" i="8"/>
  <c r="S74" i="8"/>
  <c r="R74" i="8"/>
  <c r="I74" i="8"/>
  <c r="L74" i="8" s="1"/>
  <c r="Q74" i="8" s="1"/>
  <c r="D74" i="8"/>
  <c r="N74" i="8" s="1"/>
  <c r="U73" i="8"/>
  <c r="T73" i="8"/>
  <c r="S73" i="8"/>
  <c r="N73" i="8"/>
  <c r="I73" i="8"/>
  <c r="L73" i="8" s="1"/>
  <c r="D73" i="8"/>
  <c r="U72" i="8"/>
  <c r="T72" i="8"/>
  <c r="Q72" i="8"/>
  <c r="N72" i="8"/>
  <c r="U71" i="8"/>
  <c r="T71" i="8"/>
  <c r="S71" i="8"/>
  <c r="N71" i="8"/>
  <c r="I71" i="8"/>
  <c r="L71" i="8" s="1"/>
  <c r="D71" i="8"/>
  <c r="U70" i="8"/>
  <c r="T70" i="8"/>
  <c r="S70" i="8"/>
  <c r="L70" i="8"/>
  <c r="Q70" i="8" s="1"/>
  <c r="I70" i="8"/>
  <c r="D70" i="8"/>
  <c r="N70" i="8" s="1"/>
  <c r="U69" i="8"/>
  <c r="T69" i="8"/>
  <c r="S69" i="8"/>
  <c r="N69" i="8"/>
  <c r="N68" i="8"/>
  <c r="J68" i="8"/>
  <c r="O68" i="8" s="1"/>
  <c r="R67" i="8"/>
  <c r="N67" i="8"/>
  <c r="K67" i="8"/>
  <c r="O67" i="8" s="1"/>
  <c r="P67" i="8" s="1"/>
  <c r="N66" i="8"/>
  <c r="J66" i="8"/>
  <c r="O66" i="8" s="1"/>
  <c r="O65" i="8"/>
  <c r="R65" i="8" s="1"/>
  <c r="L65" i="8"/>
  <c r="M65" i="8" s="1"/>
  <c r="N65" i="8" s="1"/>
  <c r="K65" i="8"/>
  <c r="I65" i="8"/>
  <c r="O64" i="8"/>
  <c r="R64" i="8" s="1"/>
  <c r="N64" i="8"/>
  <c r="O63" i="8"/>
  <c r="R63" i="8" s="1"/>
  <c r="N63" i="8"/>
  <c r="K63" i="8"/>
  <c r="N62" i="8"/>
  <c r="K62" i="8"/>
  <c r="O62" i="8" s="1"/>
  <c r="N61" i="8"/>
  <c r="K61" i="8"/>
  <c r="O61" i="8" s="1"/>
  <c r="F61" i="8"/>
  <c r="O60" i="8"/>
  <c r="P60" i="8" s="1"/>
  <c r="N60" i="8"/>
  <c r="K60" i="8"/>
  <c r="N59" i="8"/>
  <c r="K59" i="8"/>
  <c r="O59" i="8" s="1"/>
  <c r="N58" i="8"/>
  <c r="K58" i="8"/>
  <c r="O58" i="8" s="1"/>
  <c r="N57" i="8"/>
  <c r="K57" i="8"/>
  <c r="O57" i="8" s="1"/>
  <c r="R56" i="8"/>
  <c r="Q56" i="8"/>
  <c r="L56" i="8"/>
  <c r="K56" i="8"/>
  <c r="O56" i="8" s="1"/>
  <c r="P56" i="8" s="1"/>
  <c r="N55" i="8"/>
  <c r="K55" i="8"/>
  <c r="O55" i="8" s="1"/>
  <c r="R54" i="8"/>
  <c r="Q54" i="8"/>
  <c r="P54" i="8"/>
  <c r="O54" i="8"/>
  <c r="N54" i="8"/>
  <c r="N53" i="8"/>
  <c r="K53" i="8"/>
  <c r="O53" i="8" s="1"/>
  <c r="P52" i="8"/>
  <c r="O52" i="8"/>
  <c r="N52" i="8"/>
  <c r="K52" i="8"/>
  <c r="L51" i="8"/>
  <c r="K51" i="8"/>
  <c r="O51" i="8" s="1"/>
  <c r="J51" i="8"/>
  <c r="I51" i="8"/>
  <c r="H51" i="8"/>
  <c r="R50" i="8"/>
  <c r="Q50" i="8"/>
  <c r="P50" i="8"/>
  <c r="N50" i="8"/>
  <c r="K50" i="8"/>
  <c r="O50" i="8" s="1"/>
  <c r="N49" i="8"/>
  <c r="K49" i="8"/>
  <c r="O49" i="8" s="1"/>
  <c r="O48" i="8"/>
  <c r="R48" i="8" s="1"/>
  <c r="N48" i="8"/>
  <c r="K48" i="8"/>
  <c r="O47" i="8"/>
  <c r="P47" i="8" s="1"/>
  <c r="N47" i="8"/>
  <c r="K47" i="8"/>
  <c r="O46" i="8"/>
  <c r="N46" i="8"/>
  <c r="K46" i="8"/>
  <c r="J46" i="8"/>
  <c r="F46" i="8"/>
  <c r="O45" i="8"/>
  <c r="Q45" i="8" s="1"/>
  <c r="L45" i="8"/>
  <c r="I45" i="8"/>
  <c r="O44" i="8"/>
  <c r="R44" i="8" s="1"/>
  <c r="N44" i="8"/>
  <c r="K44" i="8"/>
  <c r="O43" i="8"/>
  <c r="P43" i="8" s="1"/>
  <c r="N43" i="8"/>
  <c r="K43" i="8"/>
  <c r="O42" i="8"/>
  <c r="N42" i="8"/>
  <c r="K42" i="8"/>
  <c r="N41" i="8"/>
  <c r="K41" i="8"/>
  <c r="O41" i="8" s="1"/>
  <c r="R39" i="8"/>
  <c r="O39" i="8"/>
  <c r="Q39" i="8" s="1"/>
  <c r="L39" i="8"/>
  <c r="D39" i="8"/>
  <c r="U38" i="8"/>
  <c r="O38" i="8"/>
  <c r="R38" i="8" s="1"/>
  <c r="M38" i="8"/>
  <c r="N38" i="8" s="1"/>
  <c r="L38" i="8"/>
  <c r="D38" i="8"/>
  <c r="U37" i="8"/>
  <c r="O37" i="8"/>
  <c r="L37" i="8"/>
  <c r="D37" i="8"/>
  <c r="R36" i="8"/>
  <c r="Q36" i="8"/>
  <c r="P36" i="8"/>
  <c r="O36" i="8"/>
  <c r="L36" i="8"/>
  <c r="D36" i="8"/>
  <c r="O35" i="8"/>
  <c r="L35" i="8"/>
  <c r="N35" i="8" s="1"/>
  <c r="R34" i="8"/>
  <c r="Q34" i="8"/>
  <c r="P34" i="8"/>
  <c r="O34" i="8"/>
  <c r="L34" i="8"/>
  <c r="N34" i="8" s="1"/>
  <c r="O33" i="8"/>
  <c r="P33" i="8" s="1"/>
  <c r="L33" i="8"/>
  <c r="N33" i="8" s="1"/>
  <c r="O32" i="8"/>
  <c r="O31" i="8" s="1"/>
  <c r="N32" i="8"/>
  <c r="L32" i="8"/>
  <c r="D31" i="8"/>
  <c r="R30" i="8"/>
  <c r="Q30" i="8"/>
  <c r="P30" i="8"/>
  <c r="O30" i="8"/>
  <c r="L30" i="8"/>
  <c r="D30" i="8"/>
  <c r="O29" i="8"/>
  <c r="L29" i="8"/>
  <c r="D29" i="8"/>
  <c r="O28" i="8"/>
  <c r="R28" i="8" s="1"/>
  <c r="L28" i="8"/>
  <c r="O27" i="8"/>
  <c r="Q27" i="8" s="1"/>
  <c r="M27" i="8"/>
  <c r="L27" i="8"/>
  <c r="R27" i="8" s="1"/>
  <c r="D27" i="8"/>
  <c r="O26" i="8"/>
  <c r="R26" i="8" s="1"/>
  <c r="M26" i="8"/>
  <c r="N26" i="8" s="1"/>
  <c r="L26" i="8"/>
  <c r="U25" i="8"/>
  <c r="O25" i="8"/>
  <c r="M25" i="8"/>
  <c r="N25" i="8" s="1"/>
  <c r="L25" i="8"/>
  <c r="U24" i="8"/>
  <c r="U23" i="8" s="1"/>
  <c r="O24" i="8"/>
  <c r="R24" i="8" s="1"/>
  <c r="N24" i="8"/>
  <c r="M24" i="8"/>
  <c r="L24" i="8"/>
  <c r="L23" i="8" s="1"/>
  <c r="T23" i="8"/>
  <c r="T5" i="8" s="1"/>
  <c r="O22" i="8"/>
  <c r="L22" i="8"/>
  <c r="R22" i="8" s="1"/>
  <c r="D22" i="8"/>
  <c r="O21" i="8"/>
  <c r="O20" i="8" s="1"/>
  <c r="L21" i="8"/>
  <c r="D21" i="8"/>
  <c r="L20" i="8"/>
  <c r="U19" i="8"/>
  <c r="U14" i="8" s="1"/>
  <c r="R19" i="8"/>
  <c r="Q19" i="8"/>
  <c r="O19" i="8"/>
  <c r="M19" i="8"/>
  <c r="N19" i="8" s="1"/>
  <c r="L19" i="8"/>
  <c r="P19" i="8" s="1"/>
  <c r="U18" i="8"/>
  <c r="O18" i="8"/>
  <c r="M18" i="8"/>
  <c r="N18" i="8" s="1"/>
  <c r="L18" i="8"/>
  <c r="U17" i="8"/>
  <c r="O17" i="8"/>
  <c r="R17" i="8" s="1"/>
  <c r="M17" i="8"/>
  <c r="N17" i="8" s="1"/>
  <c r="L17" i="8"/>
  <c r="U16" i="8"/>
  <c r="Q16" i="8"/>
  <c r="P16" i="8"/>
  <c r="O16" i="8"/>
  <c r="R16" i="8" s="1"/>
  <c r="M16" i="8"/>
  <c r="N16" i="8" s="1"/>
  <c r="L16" i="8"/>
  <c r="U15" i="8"/>
  <c r="O15" i="8"/>
  <c r="M15" i="8"/>
  <c r="N15" i="8" s="1"/>
  <c r="L15" i="8"/>
  <c r="R15" i="8" s="1"/>
  <c r="D14" i="8"/>
  <c r="O13" i="8"/>
  <c r="L13" i="8"/>
  <c r="R13" i="8" s="1"/>
  <c r="D13" i="8"/>
  <c r="R12" i="8"/>
  <c r="Q12" i="8"/>
  <c r="O12" i="8"/>
  <c r="L12" i="8"/>
  <c r="P12" i="8" s="1"/>
  <c r="D12" i="8"/>
  <c r="O11" i="8"/>
  <c r="N11" i="8"/>
  <c r="D11" i="8"/>
  <c r="R10" i="8"/>
  <c r="Q10" i="8"/>
  <c r="L10" i="8"/>
  <c r="P10" i="8" s="1"/>
  <c r="D10" i="8"/>
  <c r="O9" i="8"/>
  <c r="D9" i="8"/>
  <c r="R8" i="8"/>
  <c r="O8" i="8"/>
  <c r="Q8" i="8" s="1"/>
  <c r="L8" i="8"/>
  <c r="D8" i="8"/>
  <c r="O7" i="8"/>
  <c r="L7" i="8"/>
  <c r="L6" i="8" s="1"/>
  <c r="D7" i="8"/>
  <c r="O6" i="8"/>
  <c r="R6" i="8" s="1"/>
  <c r="C1" i="8"/>
  <c r="B1" i="8"/>
  <c r="R86" i="7"/>
  <c r="P86" i="7"/>
  <c r="O86" i="7"/>
  <c r="N86" i="7"/>
  <c r="U80" i="7"/>
  <c r="T80" i="7"/>
  <c r="S80" i="7"/>
  <c r="R80" i="7"/>
  <c r="Q80" i="7"/>
  <c r="L80" i="7"/>
  <c r="I80" i="7"/>
  <c r="F80" i="7"/>
  <c r="D80" i="7"/>
  <c r="N80" i="7" s="1"/>
  <c r="U79" i="7"/>
  <c r="T79" i="7"/>
  <c r="S79" i="7"/>
  <c r="R79" i="7"/>
  <c r="Q79" i="7"/>
  <c r="N79" i="7"/>
  <c r="L79" i="7"/>
  <c r="I79" i="7"/>
  <c r="F79" i="7"/>
  <c r="D79" i="7"/>
  <c r="U78" i="7"/>
  <c r="T78" i="7"/>
  <c r="S78" i="7"/>
  <c r="R78" i="7"/>
  <c r="Q78" i="7"/>
  <c r="N78" i="7"/>
  <c r="L78" i="7"/>
  <c r="I78" i="7"/>
  <c r="D78" i="7"/>
  <c r="U77" i="7"/>
  <c r="T77" i="7"/>
  <c r="S77" i="7"/>
  <c r="L77" i="7"/>
  <c r="I77" i="7"/>
  <c r="D77" i="7"/>
  <c r="N77" i="7" s="1"/>
  <c r="U76" i="7"/>
  <c r="T76" i="7"/>
  <c r="S76" i="7"/>
  <c r="R76" i="7"/>
  <c r="Q76" i="7"/>
  <c r="L76" i="7"/>
  <c r="I76" i="7"/>
  <c r="D76" i="7"/>
  <c r="N76" i="7" s="1"/>
  <c r="U75" i="7"/>
  <c r="T75" i="7"/>
  <c r="S75" i="7"/>
  <c r="R75" i="7"/>
  <c r="Q75" i="7"/>
  <c r="N75" i="7"/>
  <c r="L75" i="7"/>
  <c r="I75" i="7"/>
  <c r="D75" i="7"/>
  <c r="U74" i="7"/>
  <c r="T74" i="7"/>
  <c r="S74" i="7"/>
  <c r="N74" i="7"/>
  <c r="I74" i="7"/>
  <c r="L74" i="7" s="1"/>
  <c r="D74" i="7"/>
  <c r="U73" i="7"/>
  <c r="T73" i="7"/>
  <c r="S73" i="7"/>
  <c r="I73" i="7"/>
  <c r="L73" i="7" s="1"/>
  <c r="D73" i="7"/>
  <c r="N73" i="7" s="1"/>
  <c r="U72" i="7"/>
  <c r="T72" i="7"/>
  <c r="Q72" i="7"/>
  <c r="N72" i="7"/>
  <c r="U71" i="7"/>
  <c r="T71" i="7"/>
  <c r="S71" i="7"/>
  <c r="I71" i="7"/>
  <c r="L71" i="7" s="1"/>
  <c r="D71" i="7"/>
  <c r="N71" i="7" s="1"/>
  <c r="U70" i="7"/>
  <c r="T70" i="7"/>
  <c r="S70" i="7"/>
  <c r="R70" i="7"/>
  <c r="Q70" i="7"/>
  <c r="N70" i="7"/>
  <c r="L70" i="7"/>
  <c r="I70" i="7"/>
  <c r="D70" i="7"/>
  <c r="U69" i="7"/>
  <c r="T69" i="7"/>
  <c r="S69" i="7"/>
  <c r="N69" i="7"/>
  <c r="N68" i="7"/>
  <c r="J68" i="7"/>
  <c r="O68" i="7" s="1"/>
  <c r="O67" i="7"/>
  <c r="R67" i="7" s="1"/>
  <c r="N67" i="7"/>
  <c r="K67" i="7"/>
  <c r="O66" i="7"/>
  <c r="P66" i="7" s="1"/>
  <c r="N66" i="7"/>
  <c r="J66" i="7"/>
  <c r="L65" i="7"/>
  <c r="M65" i="7" s="1"/>
  <c r="N65" i="7" s="1"/>
  <c r="K65" i="7"/>
  <c r="O65" i="7" s="1"/>
  <c r="I65" i="7"/>
  <c r="R64" i="7"/>
  <c r="Q64" i="7"/>
  <c r="O64" i="7"/>
  <c r="P64" i="7" s="1"/>
  <c r="N64" i="7"/>
  <c r="N63" i="7"/>
  <c r="K63" i="7"/>
  <c r="O63" i="7" s="1"/>
  <c r="O62" i="7"/>
  <c r="R62" i="7" s="1"/>
  <c r="N62" i="7"/>
  <c r="K62" i="7"/>
  <c r="N61" i="7"/>
  <c r="K61" i="7"/>
  <c r="O61" i="7" s="1"/>
  <c r="F61" i="7"/>
  <c r="O60" i="7"/>
  <c r="P60" i="7" s="1"/>
  <c r="N60" i="7"/>
  <c r="K60" i="7"/>
  <c r="N59" i="7"/>
  <c r="K59" i="7"/>
  <c r="O59" i="7" s="1"/>
  <c r="O58" i="7"/>
  <c r="R58" i="7" s="1"/>
  <c r="N58" i="7"/>
  <c r="K58" i="7"/>
  <c r="O57" i="7"/>
  <c r="R57" i="7" s="1"/>
  <c r="N57" i="7"/>
  <c r="K57" i="7"/>
  <c r="L56" i="7"/>
  <c r="K56" i="7"/>
  <c r="O56" i="7" s="1"/>
  <c r="O55" i="7"/>
  <c r="R55" i="7" s="1"/>
  <c r="N55" i="7"/>
  <c r="K55" i="7"/>
  <c r="O54" i="7"/>
  <c r="P54" i="7" s="1"/>
  <c r="N54" i="7"/>
  <c r="O53" i="7"/>
  <c r="Q53" i="7" s="1"/>
  <c r="N53" i="7"/>
  <c r="K53" i="7"/>
  <c r="N52" i="7"/>
  <c r="K52" i="7"/>
  <c r="O52" i="7" s="1"/>
  <c r="O51" i="7"/>
  <c r="Q51" i="7" s="1"/>
  <c r="L51" i="7"/>
  <c r="K51" i="7"/>
  <c r="J51" i="7"/>
  <c r="I51" i="7"/>
  <c r="H51" i="7"/>
  <c r="O50" i="7"/>
  <c r="P50" i="7" s="1"/>
  <c r="N50" i="7"/>
  <c r="K50" i="7"/>
  <c r="R49" i="7"/>
  <c r="Q49" i="7"/>
  <c r="O49" i="7"/>
  <c r="P49" i="7" s="1"/>
  <c r="N49" i="7"/>
  <c r="K49" i="7"/>
  <c r="N48" i="7"/>
  <c r="K48" i="7"/>
  <c r="O48" i="7" s="1"/>
  <c r="O47" i="7"/>
  <c r="P47" i="7" s="1"/>
  <c r="N47" i="7"/>
  <c r="K47" i="7"/>
  <c r="N46" i="7"/>
  <c r="K46" i="7"/>
  <c r="J46" i="7"/>
  <c r="F46" i="7"/>
  <c r="O45" i="7"/>
  <c r="P45" i="7" s="1"/>
  <c r="L45" i="7"/>
  <c r="I45" i="7"/>
  <c r="N44" i="7"/>
  <c r="K44" i="7"/>
  <c r="O44" i="7" s="1"/>
  <c r="R43" i="7"/>
  <c r="O43" i="7"/>
  <c r="Q43" i="7" s="1"/>
  <c r="N43" i="7"/>
  <c r="K43" i="7"/>
  <c r="N42" i="7"/>
  <c r="K42" i="7"/>
  <c r="O42" i="7" s="1"/>
  <c r="O41" i="7"/>
  <c r="R41" i="7" s="1"/>
  <c r="N41" i="7"/>
  <c r="K41" i="7"/>
  <c r="R39" i="7"/>
  <c r="Q39" i="7"/>
  <c r="P39" i="7"/>
  <c r="O39" i="7"/>
  <c r="L39" i="7"/>
  <c r="D39" i="7"/>
  <c r="U38" i="7"/>
  <c r="O38" i="7"/>
  <c r="P38" i="7" s="1"/>
  <c r="M38" i="7"/>
  <c r="N38" i="7" s="1"/>
  <c r="L38" i="7"/>
  <c r="D38" i="7"/>
  <c r="U37" i="7"/>
  <c r="R37" i="7"/>
  <c r="Q37" i="7"/>
  <c r="P37" i="7"/>
  <c r="O37" i="7"/>
  <c r="L37" i="7"/>
  <c r="D37" i="7"/>
  <c r="O36" i="7"/>
  <c r="L36" i="7"/>
  <c r="D36" i="7"/>
  <c r="R35" i="7"/>
  <c r="O35" i="7"/>
  <c r="Q35" i="7" s="1"/>
  <c r="N35" i="7"/>
  <c r="L35" i="7"/>
  <c r="O34" i="7"/>
  <c r="P34" i="7" s="1"/>
  <c r="L34" i="7"/>
  <c r="N34" i="7" s="1"/>
  <c r="R33" i="7"/>
  <c r="O33" i="7"/>
  <c r="Q33" i="7" s="1"/>
  <c r="N33" i="7"/>
  <c r="L33" i="7"/>
  <c r="O32" i="7"/>
  <c r="R32" i="7" s="1"/>
  <c r="L32" i="7"/>
  <c r="O31" i="7"/>
  <c r="D31" i="7"/>
  <c r="O30" i="7"/>
  <c r="L30" i="7"/>
  <c r="D30" i="7"/>
  <c r="R29" i="7"/>
  <c r="Q29" i="7"/>
  <c r="P29" i="7"/>
  <c r="O29" i="7"/>
  <c r="L29" i="7"/>
  <c r="D29" i="7"/>
  <c r="O28" i="7"/>
  <c r="L28" i="7"/>
  <c r="R27" i="7"/>
  <c r="Q27" i="7"/>
  <c r="P27" i="7"/>
  <c r="O27" i="7"/>
  <c r="N27" i="7"/>
  <c r="M27" i="7"/>
  <c r="L27" i="7"/>
  <c r="D27" i="7"/>
  <c r="O26" i="7"/>
  <c r="M26" i="7"/>
  <c r="N26" i="7" s="1"/>
  <c r="L26" i="7"/>
  <c r="U25" i="7"/>
  <c r="O25" i="7"/>
  <c r="M25" i="7"/>
  <c r="N25" i="7" s="1"/>
  <c r="L25" i="7"/>
  <c r="R25" i="7" s="1"/>
  <c r="U24" i="7"/>
  <c r="R24" i="7"/>
  <c r="Q24" i="7"/>
  <c r="P24" i="7"/>
  <c r="O24" i="7"/>
  <c r="N24" i="7"/>
  <c r="M24" i="7"/>
  <c r="L24" i="7"/>
  <c r="T23" i="7"/>
  <c r="R22" i="7"/>
  <c r="Q22" i="7"/>
  <c r="P22" i="7"/>
  <c r="O22" i="7"/>
  <c r="L22" i="7"/>
  <c r="D22" i="7"/>
  <c r="O21" i="7"/>
  <c r="L21" i="7"/>
  <c r="L20" i="7" s="1"/>
  <c r="D21" i="7"/>
  <c r="U19" i="7"/>
  <c r="O19" i="7"/>
  <c r="R19" i="7" s="1"/>
  <c r="M19" i="7"/>
  <c r="N19" i="7" s="1"/>
  <c r="L19" i="7"/>
  <c r="U18" i="7"/>
  <c r="O18" i="7"/>
  <c r="M18" i="7"/>
  <c r="L18" i="7"/>
  <c r="U17" i="7"/>
  <c r="O17" i="7"/>
  <c r="O14" i="7" s="1"/>
  <c r="M17" i="7"/>
  <c r="N17" i="7" s="1"/>
  <c r="L17" i="7"/>
  <c r="U16" i="7"/>
  <c r="O16" i="7"/>
  <c r="M16" i="7"/>
  <c r="N16" i="7" s="1"/>
  <c r="L16" i="7"/>
  <c r="L14" i="7" s="1"/>
  <c r="U15" i="7"/>
  <c r="U14" i="7" s="1"/>
  <c r="R15" i="7"/>
  <c r="Q15" i="7"/>
  <c r="P15" i="7"/>
  <c r="O15" i="7"/>
  <c r="N15" i="7"/>
  <c r="M15" i="7"/>
  <c r="L15" i="7"/>
  <c r="D14" i="7"/>
  <c r="R13" i="7"/>
  <c r="Q13" i="7"/>
  <c r="P13" i="7"/>
  <c r="O13" i="7"/>
  <c r="L13" i="7"/>
  <c r="D13" i="7"/>
  <c r="R12" i="7"/>
  <c r="O12" i="7"/>
  <c r="P12" i="7" s="1"/>
  <c r="L12" i="7"/>
  <c r="Q12" i="7" s="1"/>
  <c r="D12" i="7"/>
  <c r="R11" i="7"/>
  <c r="Q11" i="7"/>
  <c r="P11" i="7"/>
  <c r="O11" i="7"/>
  <c r="N11" i="7"/>
  <c r="D11" i="7"/>
  <c r="R10" i="7"/>
  <c r="L10" i="7"/>
  <c r="Q10" i="7" s="1"/>
  <c r="D10" i="7"/>
  <c r="O9" i="7"/>
  <c r="D9" i="7"/>
  <c r="R8" i="7"/>
  <c r="Q8" i="7"/>
  <c r="P8" i="7"/>
  <c r="O8" i="7"/>
  <c r="L8" i="7"/>
  <c r="D8" i="7"/>
  <c r="O7" i="7"/>
  <c r="R7" i="7" s="1"/>
  <c r="L7" i="7"/>
  <c r="L6" i="7" s="1"/>
  <c r="D7" i="7"/>
  <c r="O6" i="7"/>
  <c r="T5" i="7"/>
  <c r="C1" i="7"/>
  <c r="B1" i="7"/>
  <c r="K60" i="2"/>
  <c r="B1" i="2"/>
  <c r="K43" i="2"/>
  <c r="O43" i="2" s="1"/>
  <c r="P33" i="7" l="1"/>
  <c r="P35" i="7"/>
  <c r="P26" i="8"/>
  <c r="Q26" i="7"/>
  <c r="P28" i="8"/>
  <c r="Q28" i="8"/>
  <c r="O23" i="7"/>
  <c r="Q23" i="7" s="1"/>
  <c r="U5" i="8"/>
  <c r="U23" i="7"/>
  <c r="U5" i="7" s="1"/>
  <c r="Q26" i="8"/>
  <c r="Q47" i="7"/>
  <c r="P57" i="7"/>
  <c r="Q57" i="7"/>
  <c r="P41" i="7"/>
  <c r="Q66" i="7"/>
  <c r="Q41" i="7"/>
  <c r="P55" i="7"/>
  <c r="R47" i="7"/>
  <c r="R66" i="7"/>
  <c r="Q55" i="7"/>
  <c r="U40" i="7"/>
  <c r="P43" i="7"/>
  <c r="R71" i="8"/>
  <c r="Q71" i="8"/>
  <c r="R61" i="8"/>
  <c r="P61" i="8"/>
  <c r="R73" i="8"/>
  <c r="Q73" i="8"/>
  <c r="R59" i="8"/>
  <c r="Q59" i="8"/>
  <c r="P59" i="8"/>
  <c r="R11" i="8"/>
  <c r="Q11" i="8"/>
  <c r="P11" i="8"/>
  <c r="R37" i="8"/>
  <c r="Q37" i="8"/>
  <c r="R46" i="8"/>
  <c r="Q46" i="8"/>
  <c r="R53" i="8"/>
  <c r="Q53" i="8"/>
  <c r="P53" i="8"/>
  <c r="R25" i="8"/>
  <c r="Q25" i="8"/>
  <c r="P25" i="8"/>
  <c r="R80" i="8"/>
  <c r="Q80" i="8"/>
  <c r="Q58" i="8"/>
  <c r="P58" i="8"/>
  <c r="R62" i="8"/>
  <c r="P62" i="8"/>
  <c r="Q62" i="8"/>
  <c r="P65" i="8"/>
  <c r="P44" i="8"/>
  <c r="Q65" i="8"/>
  <c r="Q41" i="8"/>
  <c r="O40" i="8"/>
  <c r="P41" i="8"/>
  <c r="R51" i="8"/>
  <c r="Q51" i="8"/>
  <c r="P51" i="8"/>
  <c r="Q66" i="8"/>
  <c r="P66" i="8"/>
  <c r="R66" i="8"/>
  <c r="U40" i="8"/>
  <c r="Q20" i="8"/>
  <c r="P20" i="8"/>
  <c r="R20" i="8"/>
  <c r="P29" i="8"/>
  <c r="P32" i="8"/>
  <c r="R55" i="8"/>
  <c r="Q55" i="8"/>
  <c r="P55" i="8"/>
  <c r="R18" i="8"/>
  <c r="Q18" i="8"/>
  <c r="P18" i="8"/>
  <c r="P21" i="8"/>
  <c r="M23" i="8"/>
  <c r="N23" i="8" s="1"/>
  <c r="Q32" i="8"/>
  <c r="R41" i="8"/>
  <c r="P48" i="8"/>
  <c r="P63" i="8"/>
  <c r="R7" i="8"/>
  <c r="Q7" i="8"/>
  <c r="Q21" i="8"/>
  <c r="R32" i="8"/>
  <c r="P38" i="8"/>
  <c r="Q48" i="8"/>
  <c r="Q63" i="8"/>
  <c r="P7" i="8"/>
  <c r="Q13" i="8"/>
  <c r="R21" i="8"/>
  <c r="N27" i="8"/>
  <c r="Q38" i="8"/>
  <c r="P49" i="8"/>
  <c r="R49" i="8"/>
  <c r="Q49" i="8"/>
  <c r="Q67" i="8"/>
  <c r="R57" i="8"/>
  <c r="Q57" i="8"/>
  <c r="P57" i="8"/>
  <c r="P46" i="8"/>
  <c r="O23" i="8"/>
  <c r="P37" i="8"/>
  <c r="R29" i="8"/>
  <c r="Q29" i="8"/>
  <c r="R35" i="8"/>
  <c r="Q44" i="8"/>
  <c r="R58" i="8"/>
  <c r="R42" i="8"/>
  <c r="Q42" i="8"/>
  <c r="P42" i="8"/>
  <c r="R76" i="8"/>
  <c r="Q76" i="8"/>
  <c r="O14" i="8"/>
  <c r="R52" i="8"/>
  <c r="Q52" i="8"/>
  <c r="R68" i="8"/>
  <c r="Q68" i="8"/>
  <c r="P68" i="8"/>
  <c r="Q33" i="8"/>
  <c r="R70" i="8"/>
  <c r="Q15" i="8"/>
  <c r="Q22" i="8"/>
  <c r="Q6" i="8"/>
  <c r="L14" i="8"/>
  <c r="Q43" i="8"/>
  <c r="Q47" i="8"/>
  <c r="Q60" i="8"/>
  <c r="P15" i="8"/>
  <c r="P6" i="8"/>
  <c r="P8" i="8"/>
  <c r="M14" i="8"/>
  <c r="Q17" i="8"/>
  <c r="Q24" i="8"/>
  <c r="P39" i="8"/>
  <c r="R43" i="8"/>
  <c r="R45" i="8"/>
  <c r="R47" i="8"/>
  <c r="R60" i="8"/>
  <c r="Q78" i="8"/>
  <c r="P22" i="8"/>
  <c r="R33" i="8"/>
  <c r="P45" i="8"/>
  <c r="P17" i="8"/>
  <c r="P24" i="8"/>
  <c r="L31" i="8"/>
  <c r="P35" i="8"/>
  <c r="P64" i="8"/>
  <c r="P13" i="8"/>
  <c r="P27" i="8"/>
  <c r="Q35" i="8"/>
  <c r="Q64" i="8"/>
  <c r="P86" i="8"/>
  <c r="R63" i="7"/>
  <c r="P63" i="7"/>
  <c r="Q63" i="7"/>
  <c r="R74" i="7"/>
  <c r="Q74" i="7"/>
  <c r="O5" i="7"/>
  <c r="Q14" i="7"/>
  <c r="R14" i="7"/>
  <c r="P14" i="7"/>
  <c r="R56" i="7"/>
  <c r="Q56" i="7"/>
  <c r="P56" i="7"/>
  <c r="R65" i="7"/>
  <c r="P65" i="7"/>
  <c r="Q65" i="7"/>
  <c r="P31" i="7"/>
  <c r="R36" i="7"/>
  <c r="Q36" i="7"/>
  <c r="P61" i="7"/>
  <c r="R61" i="7"/>
  <c r="Q61" i="7"/>
  <c r="P19" i="7"/>
  <c r="Q17" i="7"/>
  <c r="L31" i="7"/>
  <c r="Q45" i="7"/>
  <c r="R53" i="7"/>
  <c r="R59" i="7"/>
  <c r="Q59" i="7"/>
  <c r="P59" i="7"/>
  <c r="P62" i="7"/>
  <c r="R17" i="7"/>
  <c r="L23" i="7"/>
  <c r="N32" i="7"/>
  <c r="R45" i="7"/>
  <c r="Q62" i="7"/>
  <c r="P58" i="7"/>
  <c r="P67" i="7"/>
  <c r="Q6" i="7"/>
  <c r="Q19" i="7"/>
  <c r="Q31" i="7"/>
  <c r="R42" i="7"/>
  <c r="Q42" i="7"/>
  <c r="P42" i="7"/>
  <c r="Q48" i="7"/>
  <c r="P48" i="7"/>
  <c r="R48" i="7"/>
  <c r="P53" i="7"/>
  <c r="Q58" i="7"/>
  <c r="Q67" i="7"/>
  <c r="R6" i="7"/>
  <c r="P17" i="7"/>
  <c r="R31" i="7"/>
  <c r="R68" i="7"/>
  <c r="Q68" i="7"/>
  <c r="P68" i="7"/>
  <c r="M23" i="7"/>
  <c r="N23" i="7" s="1"/>
  <c r="R54" i="7"/>
  <c r="Q54" i="7"/>
  <c r="R73" i="7"/>
  <c r="Q73" i="7"/>
  <c r="P6" i="7"/>
  <c r="R18" i="7"/>
  <c r="Q18" i="7"/>
  <c r="P18" i="7"/>
  <c r="N18" i="7"/>
  <c r="O46" i="7"/>
  <c r="O40" i="7" s="1"/>
  <c r="P51" i="7"/>
  <c r="M14" i="7"/>
  <c r="N14" i="7" s="1"/>
  <c r="O20" i="7"/>
  <c r="R21" i="7"/>
  <c r="Q21" i="7"/>
  <c r="P21" i="7"/>
  <c r="R26" i="7"/>
  <c r="R28" i="7"/>
  <c r="Q28" i="7"/>
  <c r="R30" i="7"/>
  <c r="Q44" i="7"/>
  <c r="P44" i="7"/>
  <c r="R44" i="7"/>
  <c r="R51" i="7"/>
  <c r="Q60" i="7"/>
  <c r="P10" i="7"/>
  <c r="Q16" i="7"/>
  <c r="P26" i="7"/>
  <c r="P28" i="7"/>
  <c r="P52" i="7"/>
  <c r="R52" i="7"/>
  <c r="Q52" i="7"/>
  <c r="R60" i="7"/>
  <c r="R71" i="7"/>
  <c r="Q71" i="7"/>
  <c r="P23" i="7"/>
  <c r="R50" i="7"/>
  <c r="Q50" i="7"/>
  <c r="R77" i="7"/>
  <c r="Q77" i="7"/>
  <c r="P36" i="7"/>
  <c r="R34" i="7"/>
  <c r="Q34" i="7"/>
  <c r="Q38" i="7"/>
  <c r="Q7" i="7"/>
  <c r="R16" i="7"/>
  <c r="P25" i="7"/>
  <c r="R38" i="7"/>
  <c r="P30" i="7"/>
  <c r="P32" i="7"/>
  <c r="P16" i="7"/>
  <c r="Q30" i="7"/>
  <c r="Q32" i="7"/>
  <c r="P7" i="7"/>
  <c r="Q25" i="7"/>
  <c r="R23" i="7" l="1"/>
  <c r="U81" i="7"/>
  <c r="U81" i="8"/>
  <c r="P31" i="8"/>
  <c r="R31" i="8"/>
  <c r="Q31" i="8"/>
  <c r="N14" i="8"/>
  <c r="Q14" i="8"/>
  <c r="P14" i="8"/>
  <c r="R14" i="8"/>
  <c r="O5" i="8"/>
  <c r="O81" i="8" s="1"/>
  <c r="R23" i="8"/>
  <c r="Q23" i="8"/>
  <c r="P23" i="8"/>
  <c r="O81" i="7"/>
  <c r="P20" i="7"/>
  <c r="R20" i="7"/>
  <c r="Q20" i="7"/>
  <c r="R46" i="7"/>
  <c r="Q46" i="7"/>
  <c r="P46" i="7"/>
  <c r="N88" i="2" l="1"/>
  <c r="F63" i="2"/>
  <c r="C1" i="2"/>
  <c r="K69" i="2"/>
  <c r="K44" i="2" l="1"/>
  <c r="O60" i="2" l="1"/>
  <c r="L45" i="2"/>
  <c r="K64" i="2"/>
  <c r="K53" i="2"/>
  <c r="K59" i="2"/>
  <c r="O59" i="2" s="1"/>
  <c r="K62" i="2"/>
  <c r="K61" i="2"/>
  <c r="K58" i="2"/>
  <c r="O58" i="2" s="1"/>
  <c r="K52" i="2"/>
  <c r="K63" i="2"/>
  <c r="K67" i="2"/>
  <c r="O52" i="2" l="1"/>
  <c r="P52" i="2" s="1"/>
  <c r="Q59" i="2"/>
  <c r="P59" i="2"/>
  <c r="Q60" i="2"/>
  <c r="P60" i="2"/>
  <c r="Q54" i="2"/>
  <c r="P54" i="2"/>
  <c r="K51" i="2"/>
  <c r="K48" i="2"/>
  <c r="K46" i="2"/>
  <c r="K50" i="2"/>
  <c r="O50" i="2" s="1"/>
  <c r="M17" i="2"/>
  <c r="Q52" i="2" l="1"/>
  <c r="Q50" i="2"/>
  <c r="P50" i="2"/>
  <c r="M18" i="2"/>
  <c r="M19" i="2"/>
  <c r="K42" i="2" l="1"/>
  <c r="T23" i="2"/>
  <c r="T5" i="2"/>
  <c r="K41" i="2"/>
  <c r="O41" i="2" s="1"/>
  <c r="M15" i="2"/>
  <c r="M16" i="2"/>
  <c r="O33" i="2"/>
  <c r="O32" i="2"/>
  <c r="O35" i="2"/>
  <c r="Q41" i="2" l="1"/>
  <c r="P41" i="2"/>
  <c r="M23" i="2"/>
  <c r="O38" i="2"/>
  <c r="U37" i="2"/>
  <c r="W37" i="2" s="1"/>
  <c r="O37" i="2"/>
  <c r="O26" i="2" l="1"/>
  <c r="L15" i="2" l="1"/>
  <c r="N15" i="2" s="1"/>
  <c r="L17" i="2"/>
  <c r="N17" i="2" s="1"/>
  <c r="P17" i="2" l="1"/>
  <c r="Q17" i="2"/>
  <c r="O69" i="2"/>
  <c r="Q69" i="2" l="1"/>
  <c r="P69" i="2"/>
  <c r="R69" i="2"/>
  <c r="Q74" i="2" l="1"/>
  <c r="O7" i="2"/>
  <c r="O6" i="2" s="1"/>
  <c r="O27" i="2" l="1"/>
  <c r="J51" i="2" l="1"/>
  <c r="O51" i="2" s="1"/>
  <c r="H51" i="2"/>
  <c r="O22" i="2"/>
  <c r="O36" i="2" l="1"/>
  <c r="O30" i="2" l="1"/>
  <c r="O29" i="2" l="1"/>
  <c r="O25" i="2" l="1"/>
  <c r="O24" i="2"/>
  <c r="O11" i="2" l="1"/>
  <c r="Q11" i="2" l="1"/>
  <c r="P11" i="2"/>
  <c r="R11" i="2"/>
  <c r="O21" i="2"/>
  <c r="O12" i="2" l="1"/>
  <c r="J46" i="2" l="1"/>
  <c r="F46" i="2"/>
  <c r="O53" i="2"/>
  <c r="O61" i="2"/>
  <c r="O62" i="2"/>
  <c r="O64" i="2"/>
  <c r="O65" i="2"/>
  <c r="O66" i="2"/>
  <c r="O44" i="2"/>
  <c r="O42" i="2"/>
  <c r="O49" i="2"/>
  <c r="O48" i="2"/>
  <c r="W48" i="2" s="1"/>
  <c r="S71" i="2"/>
  <c r="T72" i="2"/>
  <c r="U72" i="2"/>
  <c r="T73" i="2"/>
  <c r="U73" i="2"/>
  <c r="T74" i="2"/>
  <c r="U74" i="2"/>
  <c r="T75" i="2"/>
  <c r="U75" i="2"/>
  <c r="T76" i="2"/>
  <c r="U76" i="2"/>
  <c r="T77" i="2"/>
  <c r="U77" i="2"/>
  <c r="T78" i="2"/>
  <c r="U78" i="2"/>
  <c r="T79" i="2"/>
  <c r="U79" i="2"/>
  <c r="T80" i="2"/>
  <c r="U80" i="2"/>
  <c r="T81" i="2"/>
  <c r="U81" i="2"/>
  <c r="T82" i="2"/>
  <c r="U82" i="2"/>
  <c r="U71" i="2"/>
  <c r="T71" i="2"/>
  <c r="S80" i="2"/>
  <c r="S82" i="2"/>
  <c r="S81" i="2"/>
  <c r="S79" i="2"/>
  <c r="S78" i="2"/>
  <c r="S77" i="2"/>
  <c r="S76" i="2"/>
  <c r="S75" i="2"/>
  <c r="S73" i="2"/>
  <c r="S72" i="2"/>
  <c r="L51" i="2"/>
  <c r="L72" i="2"/>
  <c r="I73" i="2"/>
  <c r="L73" i="2" s="1"/>
  <c r="Q73" i="2" s="1"/>
  <c r="I75" i="2"/>
  <c r="L75" i="2" s="1"/>
  <c r="I76" i="2"/>
  <c r="L76" i="2" s="1"/>
  <c r="Q76" i="2" s="1"/>
  <c r="L77" i="2"/>
  <c r="L78" i="2"/>
  <c r="L80" i="2"/>
  <c r="Q80" i="2" s="1"/>
  <c r="L81" i="2"/>
  <c r="Q81" i="2" s="1"/>
  <c r="L82" i="2"/>
  <c r="Q82" i="2" s="1"/>
  <c r="I82" i="2"/>
  <c r="I81" i="2"/>
  <c r="F82" i="2"/>
  <c r="F81" i="2"/>
  <c r="I80" i="2"/>
  <c r="I51" i="2"/>
  <c r="O88" i="2"/>
  <c r="R88" i="2" s="1"/>
  <c r="L67" i="2"/>
  <c r="M67" i="2" s="1"/>
  <c r="N67" i="2" s="1"/>
  <c r="I67" i="2"/>
  <c r="U40" i="2" l="1"/>
  <c r="Q42" i="2"/>
  <c r="P42" i="2"/>
  <c r="Q66" i="2"/>
  <c r="P66" i="2"/>
  <c r="Q47" i="2"/>
  <c r="P47" i="2"/>
  <c r="Q65" i="2"/>
  <c r="P65" i="2"/>
  <c r="Q64" i="2"/>
  <c r="P64" i="2"/>
  <c r="Q62" i="2"/>
  <c r="P62" i="2"/>
  <c r="Q45" i="2"/>
  <c r="P45" i="2"/>
  <c r="Q61" i="2"/>
  <c r="P61" i="2"/>
  <c r="Q53" i="2"/>
  <c r="P53" i="2"/>
  <c r="Q44" i="2"/>
  <c r="P44" i="2"/>
  <c r="Q51" i="2"/>
  <c r="P51" i="2"/>
  <c r="Q43" i="2"/>
  <c r="P43" i="2"/>
  <c r="Q48" i="2"/>
  <c r="P48" i="2"/>
  <c r="Q49" i="2"/>
  <c r="P49" i="2"/>
  <c r="R59" i="2"/>
  <c r="I72" i="2"/>
  <c r="Q72" i="2"/>
  <c r="R53" i="2"/>
  <c r="I79" i="2"/>
  <c r="Q79" i="2"/>
  <c r="I78" i="2"/>
  <c r="Q78" i="2"/>
  <c r="R75" i="2"/>
  <c r="Q75" i="2"/>
  <c r="R54" i="2"/>
  <c r="R44" i="2"/>
  <c r="R64" i="2"/>
  <c r="R61" i="2"/>
  <c r="I77" i="2"/>
  <c r="Q77" i="2"/>
  <c r="R43" i="2"/>
  <c r="R65" i="2"/>
  <c r="O46" i="2"/>
  <c r="R49" i="2"/>
  <c r="R50" i="2"/>
  <c r="R48" i="2"/>
  <c r="R52" i="2"/>
  <c r="R47" i="2"/>
  <c r="R66" i="2"/>
  <c r="R51" i="2"/>
  <c r="R42" i="2"/>
  <c r="R41" i="2"/>
  <c r="R62" i="2"/>
  <c r="R60" i="2"/>
  <c r="R72" i="2"/>
  <c r="P88" i="2"/>
  <c r="L58" i="2"/>
  <c r="P58" i="2" s="1"/>
  <c r="L39" i="2"/>
  <c r="L38" i="2"/>
  <c r="P38" i="2" s="1"/>
  <c r="L37" i="2"/>
  <c r="L36" i="2"/>
  <c r="L35" i="2"/>
  <c r="L34" i="2"/>
  <c r="L33" i="2"/>
  <c r="L32" i="2"/>
  <c r="L30" i="2"/>
  <c r="P30" i="2" s="1"/>
  <c r="L29" i="2"/>
  <c r="L28" i="2"/>
  <c r="P27" i="2"/>
  <c r="W44" i="2" l="1"/>
  <c r="P33" i="2"/>
  <c r="N33" i="2"/>
  <c r="P34" i="2"/>
  <c r="N34" i="2"/>
  <c r="P35" i="2"/>
  <c r="N35" i="2"/>
  <c r="P32" i="2"/>
  <c r="N32" i="2"/>
  <c r="Q36" i="2"/>
  <c r="P36" i="2"/>
  <c r="Q37" i="2"/>
  <c r="P37" i="2"/>
  <c r="Q29" i="2"/>
  <c r="P29" i="2"/>
  <c r="Q46" i="2"/>
  <c r="P46" i="2"/>
  <c r="Q30" i="2"/>
  <c r="Q39" i="2"/>
  <c r="P39" i="2"/>
  <c r="Q28" i="2"/>
  <c r="P28" i="2"/>
  <c r="M38" i="2"/>
  <c r="N38" i="2" s="1"/>
  <c r="Q38" i="2"/>
  <c r="Q32" i="2"/>
  <c r="Q35" i="2"/>
  <c r="Q58" i="2"/>
  <c r="Q27" i="2"/>
  <c r="Q33" i="2"/>
  <c r="Q34" i="2"/>
  <c r="R46" i="2"/>
  <c r="L31" i="2"/>
  <c r="R45" i="2"/>
  <c r="R58" i="2"/>
  <c r="P25" i="2"/>
  <c r="P26" i="2"/>
  <c r="P24" i="2"/>
  <c r="L22" i="2"/>
  <c r="L21" i="2"/>
  <c r="L17" i="4"/>
  <c r="Q21" i="2" l="1"/>
  <c r="P21" i="2"/>
  <c r="Q22" i="2"/>
  <c r="P22" i="2"/>
  <c r="Q26" i="2"/>
  <c r="Q25" i="2"/>
  <c r="Q24" i="2"/>
  <c r="L20" i="2"/>
  <c r="L23" i="2"/>
  <c r="N23" i="2" s="1"/>
  <c r="L16" i="2"/>
  <c r="L18" i="2"/>
  <c r="L19" i="2"/>
  <c r="L12" i="2"/>
  <c r="L13" i="2"/>
  <c r="P13" i="2" s="1"/>
  <c r="L10" i="2"/>
  <c r="L8" i="2"/>
  <c r="L7" i="2"/>
  <c r="P19" i="2" l="1"/>
  <c r="N19" i="2"/>
  <c r="P18" i="2"/>
  <c r="N18" i="2"/>
  <c r="P16" i="2"/>
  <c r="N16" i="2"/>
  <c r="Q8" i="2"/>
  <c r="P8" i="2"/>
  <c r="Q12" i="2"/>
  <c r="P12" i="2"/>
  <c r="Q7" i="2"/>
  <c r="P7" i="2"/>
  <c r="Q10" i="2"/>
  <c r="P10" i="2"/>
  <c r="Q13" i="2"/>
  <c r="Q19" i="2"/>
  <c r="Q16" i="2"/>
  <c r="Q18" i="2"/>
  <c r="R7" i="2"/>
  <c r="R8" i="2"/>
  <c r="L6" i="2"/>
  <c r="L14" i="2"/>
  <c r="G51" i="4"/>
  <c r="L50" i="4"/>
  <c r="I50" i="4"/>
  <c r="L49" i="4"/>
  <c r="I49" i="4"/>
  <c r="L48" i="4"/>
  <c r="I48" i="4"/>
  <c r="L47" i="4"/>
  <c r="I47" i="4"/>
  <c r="L46" i="4"/>
  <c r="I46" i="4"/>
  <c r="L45" i="4"/>
  <c r="I45" i="4"/>
  <c r="L44" i="4"/>
  <c r="I44" i="4"/>
  <c r="L43" i="4"/>
  <c r="I43" i="4"/>
  <c r="L42" i="4"/>
  <c r="I42" i="4"/>
  <c r="L41" i="4"/>
  <c r="I41" i="4"/>
  <c r="L40" i="4"/>
  <c r="I40" i="4"/>
  <c r="L39" i="4"/>
  <c r="M39" i="4" s="1"/>
  <c r="I39" i="4"/>
  <c r="L38" i="4"/>
  <c r="I38" i="4"/>
  <c r="L37" i="4"/>
  <c r="I37" i="4"/>
  <c r="I36" i="4"/>
  <c r="I35" i="4" s="1"/>
  <c r="H35" i="4"/>
  <c r="O34" i="4"/>
  <c r="N34" i="4"/>
  <c r="L34" i="4"/>
  <c r="K34" i="4"/>
  <c r="I34" i="4"/>
  <c r="I33" i="4"/>
  <c r="L32" i="4"/>
  <c r="I32" i="4"/>
  <c r="P31" i="4"/>
  <c r="Q31" i="4" s="1"/>
  <c r="M31" i="4"/>
  <c r="I31" i="4"/>
  <c r="L30" i="4"/>
  <c r="I30" i="4"/>
  <c r="L29" i="4"/>
  <c r="I29" i="4"/>
  <c r="N28" i="4"/>
  <c r="O28" i="4" s="1"/>
  <c r="L28" i="4"/>
  <c r="K28" i="4"/>
  <c r="I28" i="4"/>
  <c r="L27" i="4"/>
  <c r="I27" i="4"/>
  <c r="N26" i="4"/>
  <c r="O26" i="4" s="1"/>
  <c r="L26" i="4"/>
  <c r="M29" i="2" s="1"/>
  <c r="J26" i="4"/>
  <c r="K26" i="4" s="1"/>
  <c r="I26" i="4"/>
  <c r="N24" i="4"/>
  <c r="O24" i="4" s="1"/>
  <c r="L24" i="4"/>
  <c r="K24" i="4"/>
  <c r="J24" i="4"/>
  <c r="I24" i="4"/>
  <c r="P23" i="4"/>
  <c r="Q23" i="4" s="1"/>
  <c r="M23" i="4"/>
  <c r="I23" i="4"/>
  <c r="P22" i="4"/>
  <c r="Q22" i="4" s="1"/>
  <c r="M22" i="4"/>
  <c r="I22" i="4"/>
  <c r="P21" i="4"/>
  <c r="Q21" i="4" s="1"/>
  <c r="M21" i="4"/>
  <c r="I21" i="4"/>
  <c r="L20" i="4"/>
  <c r="P20" i="4" s="1"/>
  <c r="Q20" i="4" s="1"/>
  <c r="H20" i="4"/>
  <c r="I20" i="4" s="1"/>
  <c r="V19" i="4"/>
  <c r="L19" i="4"/>
  <c r="I19" i="4"/>
  <c r="N18" i="4"/>
  <c r="O18" i="4" s="1"/>
  <c r="L18" i="4"/>
  <c r="K18" i="4"/>
  <c r="I18" i="4"/>
  <c r="N17" i="4"/>
  <c r="O17" i="4" s="1"/>
  <c r="M17" i="4"/>
  <c r="K17" i="4"/>
  <c r="J17" i="4"/>
  <c r="I17" i="4"/>
  <c r="J16" i="4"/>
  <c r="N16" i="4" s="1"/>
  <c r="O16" i="4" s="1"/>
  <c r="I16" i="4"/>
  <c r="O15" i="4"/>
  <c r="N15" i="4"/>
  <c r="L15" i="4"/>
  <c r="K15" i="4"/>
  <c r="I15" i="4"/>
  <c r="N14" i="4"/>
  <c r="N10" i="4" s="1"/>
  <c r="O10" i="4" s="1"/>
  <c r="L14" i="4"/>
  <c r="K14" i="4"/>
  <c r="I14" i="4"/>
  <c r="L13" i="4"/>
  <c r="H13" i="4"/>
  <c r="H10" i="4" s="1"/>
  <c r="H51" i="4" s="1"/>
  <c r="V12" i="4"/>
  <c r="L12" i="4"/>
  <c r="I12" i="4"/>
  <c r="I11" i="4"/>
  <c r="J51" i="4"/>
  <c r="K51" i="4" s="1"/>
  <c r="G10" i="4"/>
  <c r="M72" i="2" l="1"/>
  <c r="N72" i="2" s="1"/>
  <c r="M70" i="8"/>
  <c r="M70" i="7"/>
  <c r="M75" i="2"/>
  <c r="N75" i="2" s="1"/>
  <c r="M73" i="7"/>
  <c r="M73" i="8"/>
  <c r="M80" i="2"/>
  <c r="N80" i="2" s="1"/>
  <c r="M78" i="8"/>
  <c r="M78" i="7"/>
  <c r="M37" i="2"/>
  <c r="N37" i="2" s="1"/>
  <c r="M37" i="7"/>
  <c r="N37" i="7" s="1"/>
  <c r="M37" i="8"/>
  <c r="N37" i="8" s="1"/>
  <c r="M21" i="2"/>
  <c r="N21" i="2" s="1"/>
  <c r="M21" i="7"/>
  <c r="M21" i="8"/>
  <c r="M58" i="2"/>
  <c r="N58" i="2" s="1"/>
  <c r="M56" i="8"/>
  <c r="N56" i="8" s="1"/>
  <c r="M56" i="7"/>
  <c r="N56" i="7" s="1"/>
  <c r="M12" i="8"/>
  <c r="N12" i="8" s="1"/>
  <c r="M12" i="7"/>
  <c r="N12" i="7" s="1"/>
  <c r="M77" i="8"/>
  <c r="M77" i="7"/>
  <c r="M10" i="2"/>
  <c r="N10" i="2" s="1"/>
  <c r="M10" i="7"/>
  <c r="N10" i="7" s="1"/>
  <c r="M10" i="8"/>
  <c r="N10" i="8" s="1"/>
  <c r="M77" i="2"/>
  <c r="N77" i="2" s="1"/>
  <c r="M75" i="7"/>
  <c r="M75" i="8"/>
  <c r="M36" i="2"/>
  <c r="N36" i="2" s="1"/>
  <c r="M36" i="8"/>
  <c r="N36" i="8" s="1"/>
  <c r="M36" i="7"/>
  <c r="N36" i="7" s="1"/>
  <c r="M73" i="2"/>
  <c r="N73" i="2" s="1"/>
  <c r="M71" i="7"/>
  <c r="M71" i="8"/>
  <c r="M7" i="2"/>
  <c r="N7" i="2" s="1"/>
  <c r="M7" i="7"/>
  <c r="M7" i="8"/>
  <c r="M28" i="2"/>
  <c r="N28" i="2" s="1"/>
  <c r="M28" i="7"/>
  <c r="N28" i="7" s="1"/>
  <c r="M28" i="8"/>
  <c r="N28" i="8" s="1"/>
  <c r="M78" i="2"/>
  <c r="N78" i="2" s="1"/>
  <c r="M76" i="8"/>
  <c r="M76" i="7"/>
  <c r="M82" i="2"/>
  <c r="N82" i="2" s="1"/>
  <c r="M80" i="8"/>
  <c r="M80" i="7"/>
  <c r="N29" i="2"/>
  <c r="M29" i="8"/>
  <c r="N29" i="8" s="1"/>
  <c r="M29" i="7"/>
  <c r="N29" i="7" s="1"/>
  <c r="M76" i="2"/>
  <c r="N76" i="2" s="1"/>
  <c r="M74" i="8"/>
  <c r="M74" i="7"/>
  <c r="M8" i="2"/>
  <c r="N8" i="2" s="1"/>
  <c r="M8" i="7"/>
  <c r="N8" i="7" s="1"/>
  <c r="M8" i="8"/>
  <c r="N8" i="8" s="1"/>
  <c r="M39" i="2"/>
  <c r="N39" i="2" s="1"/>
  <c r="M39" i="7"/>
  <c r="N39" i="7" s="1"/>
  <c r="M39" i="8"/>
  <c r="N39" i="8" s="1"/>
  <c r="M45" i="2"/>
  <c r="M45" i="8"/>
  <c r="M45" i="7"/>
  <c r="M31" i="2"/>
  <c r="N31" i="2" s="1"/>
  <c r="M31" i="8"/>
  <c r="N31" i="8" s="1"/>
  <c r="M31" i="7"/>
  <c r="N31" i="7" s="1"/>
  <c r="M81" i="2"/>
  <c r="N81" i="2" s="1"/>
  <c r="M79" i="8"/>
  <c r="M79" i="7"/>
  <c r="M51" i="2"/>
  <c r="N51" i="2" s="1"/>
  <c r="M51" i="7"/>
  <c r="N51" i="7" s="1"/>
  <c r="M51" i="8"/>
  <c r="N51" i="8" s="1"/>
  <c r="M9" i="2"/>
  <c r="M9" i="8"/>
  <c r="M9" i="7"/>
  <c r="M30" i="2"/>
  <c r="N30" i="2" s="1"/>
  <c r="M30" i="7"/>
  <c r="N30" i="7" s="1"/>
  <c r="M30" i="8"/>
  <c r="N30" i="8" s="1"/>
  <c r="M22" i="2"/>
  <c r="N22" i="2" s="1"/>
  <c r="M22" i="7"/>
  <c r="N22" i="7" s="1"/>
  <c r="M22" i="8"/>
  <c r="N22" i="8" s="1"/>
  <c r="I69" i="7"/>
  <c r="L69" i="7" s="1"/>
  <c r="I69" i="8"/>
  <c r="L69" i="8" s="1"/>
  <c r="L9" i="8"/>
  <c r="L9" i="7"/>
  <c r="P15" i="4"/>
  <c r="Q15" i="4" s="1"/>
  <c r="M12" i="2"/>
  <c r="N12" i="2" s="1"/>
  <c r="P37" i="4"/>
  <c r="P44" i="4"/>
  <c r="Q44" i="4" s="1"/>
  <c r="P45" i="4"/>
  <c r="Q45" i="4" s="1"/>
  <c r="M50" i="4"/>
  <c r="P46" i="4"/>
  <c r="Q46" i="4" s="1"/>
  <c r="M43" i="4"/>
  <c r="M37" i="4"/>
  <c r="I71" i="2"/>
  <c r="L71" i="2" s="1"/>
  <c r="M38" i="4"/>
  <c r="M40" i="4"/>
  <c r="P47" i="4"/>
  <c r="Q47" i="4" s="1"/>
  <c r="M48" i="4"/>
  <c r="M41" i="4"/>
  <c r="M42" i="4"/>
  <c r="P49" i="4"/>
  <c r="Q49" i="4" s="1"/>
  <c r="P50" i="4"/>
  <c r="Q50" i="4" s="1"/>
  <c r="M45" i="4"/>
  <c r="P39" i="4"/>
  <c r="Q39" i="4" s="1"/>
  <c r="P11" i="4"/>
  <c r="P42" i="4"/>
  <c r="Q42" i="4" s="1"/>
  <c r="P29" i="4"/>
  <c r="Q29" i="4" s="1"/>
  <c r="P30" i="4"/>
  <c r="Q30" i="4" s="1"/>
  <c r="M26" i="4"/>
  <c r="P32" i="4"/>
  <c r="Q32" i="4" s="1"/>
  <c r="P27" i="4"/>
  <c r="Q27" i="4" s="1"/>
  <c r="P40" i="4"/>
  <c r="Q40" i="4" s="1"/>
  <c r="U19" i="4"/>
  <c r="P12" i="4"/>
  <c r="W12" i="4" s="1"/>
  <c r="P24" i="4"/>
  <c r="Q24" i="4" s="1"/>
  <c r="I13" i="4"/>
  <c r="I10" i="4" s="1"/>
  <c r="I51" i="4" s="1"/>
  <c r="L9" i="2"/>
  <c r="L5" i="2" s="1"/>
  <c r="P18" i="4"/>
  <c r="Q18" i="4" s="1"/>
  <c r="M15" i="4"/>
  <c r="M18" i="4"/>
  <c r="P48" i="4"/>
  <c r="Q48" i="4" s="1"/>
  <c r="P28" i="4"/>
  <c r="Q28" i="4" s="1"/>
  <c r="P26" i="4"/>
  <c r="Q26" i="4" s="1"/>
  <c r="M44" i="4"/>
  <c r="M28" i="4"/>
  <c r="P13" i="4"/>
  <c r="Q13" i="4" s="1"/>
  <c r="P41" i="4"/>
  <c r="Q41" i="4" s="1"/>
  <c r="M46" i="4"/>
  <c r="L35" i="4"/>
  <c r="M35" i="4" s="1"/>
  <c r="P43" i="4"/>
  <c r="Q43" i="4" s="1"/>
  <c r="P38" i="4"/>
  <c r="Q38" i="4" s="1"/>
  <c r="Q37" i="4"/>
  <c r="M47" i="4"/>
  <c r="M24" i="4"/>
  <c r="M12" i="4"/>
  <c r="M14" i="4"/>
  <c r="M19" i="4"/>
  <c r="M29" i="4"/>
  <c r="M32" i="4"/>
  <c r="P19" i="4"/>
  <c r="Q19" i="4" s="1"/>
  <c r="M27" i="4"/>
  <c r="O14" i="4"/>
  <c r="K16" i="4"/>
  <c r="P17" i="4"/>
  <c r="Q17" i="4" s="1"/>
  <c r="P14" i="4"/>
  <c r="L16" i="4"/>
  <c r="L10" i="4" s="1"/>
  <c r="M30" i="4"/>
  <c r="M13" i="4"/>
  <c r="M20" i="4"/>
  <c r="M49" i="4"/>
  <c r="M11" i="4"/>
  <c r="Q71" i="2" l="1"/>
  <c r="L40" i="2"/>
  <c r="N45" i="2"/>
  <c r="M40" i="2"/>
  <c r="N9" i="2"/>
  <c r="M6" i="2"/>
  <c r="N6" i="2" s="1"/>
  <c r="Q11" i="4"/>
  <c r="R69" i="7"/>
  <c r="Q69" i="7"/>
  <c r="L40" i="7"/>
  <c r="M20" i="2"/>
  <c r="N20" i="2" s="1"/>
  <c r="N7" i="7"/>
  <c r="M6" i="7"/>
  <c r="Q9" i="7"/>
  <c r="R9" i="7"/>
  <c r="L5" i="7"/>
  <c r="P9" i="7"/>
  <c r="M13" i="2"/>
  <c r="N13" i="2" s="1"/>
  <c r="M13" i="7"/>
  <c r="N13" i="7" s="1"/>
  <c r="M13" i="8"/>
  <c r="N13" i="8" s="1"/>
  <c r="M20" i="7"/>
  <c r="N20" i="7" s="1"/>
  <c r="N21" i="7"/>
  <c r="N45" i="7"/>
  <c r="R69" i="8"/>
  <c r="L40" i="8"/>
  <c r="Q69" i="8"/>
  <c r="N45" i="8"/>
  <c r="M40" i="8"/>
  <c r="Q9" i="8"/>
  <c r="R9" i="8"/>
  <c r="P9" i="8"/>
  <c r="L5" i="8"/>
  <c r="M6" i="8"/>
  <c r="N7" i="8"/>
  <c r="N9" i="7"/>
  <c r="M69" i="7"/>
  <c r="M40" i="7" s="1"/>
  <c r="M69" i="8"/>
  <c r="N9" i="8"/>
  <c r="M20" i="8"/>
  <c r="N20" i="8" s="1"/>
  <c r="N21" i="8"/>
  <c r="P9" i="2"/>
  <c r="Q9" i="2"/>
  <c r="R71" i="2"/>
  <c r="L83" i="2"/>
  <c r="Q12" i="4"/>
  <c r="P35" i="4"/>
  <c r="Q35" i="4" s="1"/>
  <c r="M10" i="4"/>
  <c r="L51" i="4"/>
  <c r="M51" i="4" s="1"/>
  <c r="P16" i="4"/>
  <c r="Q16" i="4" s="1"/>
  <c r="M16" i="4"/>
  <c r="V14" i="4"/>
  <c r="Q14" i="4"/>
  <c r="N71" i="2" l="1"/>
  <c r="N40" i="2"/>
  <c r="P10" i="4"/>
  <c r="N40" i="7"/>
  <c r="M5" i="7"/>
  <c r="N5" i="7" s="1"/>
  <c r="N6" i="7"/>
  <c r="R5" i="8"/>
  <c r="P5" i="8"/>
  <c r="Q5" i="8"/>
  <c r="L81" i="8"/>
  <c r="R40" i="8"/>
  <c r="Q40" i="8"/>
  <c r="P40" i="8"/>
  <c r="L81" i="7"/>
  <c r="R40" i="7"/>
  <c r="P40" i="7"/>
  <c r="Q40" i="7"/>
  <c r="N6" i="8"/>
  <c r="M5" i="8"/>
  <c r="N5" i="8" s="1"/>
  <c r="Q5" i="7"/>
  <c r="R5" i="7"/>
  <c r="P5" i="7"/>
  <c r="N40" i="8"/>
  <c r="Q10" i="4"/>
  <c r="O67" i="2"/>
  <c r="J70" i="2"/>
  <c r="M81" i="8" l="1"/>
  <c r="N81" i="8" s="1"/>
  <c r="R81" i="8"/>
  <c r="Q81" i="8"/>
  <c r="P81" i="8"/>
  <c r="R81" i="7"/>
  <c r="P81" i="7"/>
  <c r="Q81" i="7"/>
  <c r="M81" i="7"/>
  <c r="N81" i="7" s="1"/>
  <c r="Q67" i="2"/>
  <c r="P67" i="2"/>
  <c r="P51" i="4"/>
  <c r="Q51" i="4" s="1"/>
  <c r="O63" i="2"/>
  <c r="O70" i="2"/>
  <c r="R67" i="2"/>
  <c r="J68" i="2"/>
  <c r="Q70" i="2" l="1"/>
  <c r="P70" i="2"/>
  <c r="P63" i="2"/>
  <c r="Q63" i="2" s="1"/>
  <c r="O68" i="2"/>
  <c r="O40" i="2" s="1"/>
  <c r="R63" i="2"/>
  <c r="R70" i="2"/>
  <c r="Q68" i="2" l="1"/>
  <c r="P68" i="2"/>
  <c r="R68" i="2"/>
  <c r="I45" i="2"/>
  <c r="M55" i="3"/>
  <c r="L55" i="3"/>
  <c r="J55" i="3"/>
  <c r="H55" i="3"/>
  <c r="M54" i="3"/>
  <c r="L54" i="3"/>
  <c r="J54" i="3"/>
  <c r="H54" i="3"/>
  <c r="M53" i="3"/>
  <c r="L53" i="3"/>
  <c r="J53" i="3"/>
  <c r="H53" i="3"/>
  <c r="M52" i="3"/>
  <c r="L52" i="3"/>
  <c r="H52" i="3"/>
  <c r="M51" i="3"/>
  <c r="L51" i="3"/>
  <c r="J51" i="3"/>
  <c r="H51" i="3"/>
  <c r="M50" i="3"/>
  <c r="J50" i="3"/>
  <c r="H50" i="3"/>
  <c r="M49" i="3"/>
  <c r="L49" i="3"/>
  <c r="J49" i="3"/>
  <c r="H49" i="3"/>
  <c r="M48" i="3"/>
  <c r="L48" i="3"/>
  <c r="J48" i="3"/>
  <c r="H48" i="3"/>
  <c r="M47" i="3"/>
  <c r="L47" i="3"/>
  <c r="J47" i="3"/>
  <c r="H47" i="3"/>
  <c r="M46" i="3"/>
  <c r="L46" i="3"/>
  <c r="J46" i="3"/>
  <c r="H46" i="3"/>
  <c r="M45" i="3"/>
  <c r="L45" i="3"/>
  <c r="J45" i="3"/>
  <c r="H45" i="3"/>
  <c r="M44" i="3"/>
  <c r="L44" i="3"/>
  <c r="J44" i="3"/>
  <c r="H44" i="3"/>
  <c r="M43" i="3"/>
  <c r="L43" i="3"/>
  <c r="J43" i="3"/>
  <c r="H43" i="3"/>
  <c r="M42" i="3"/>
  <c r="L42" i="3"/>
  <c r="J42" i="3"/>
  <c r="H42" i="3"/>
  <c r="M41" i="3"/>
  <c r="L41" i="3"/>
  <c r="J41" i="3"/>
  <c r="H41" i="3"/>
  <c r="M40" i="3"/>
  <c r="L40" i="3"/>
  <c r="J40" i="3"/>
  <c r="H40" i="3"/>
  <c r="M39" i="3"/>
  <c r="L39" i="3"/>
  <c r="J39" i="3"/>
  <c r="H39" i="3"/>
  <c r="M38" i="3"/>
  <c r="L38" i="3"/>
  <c r="J38" i="3"/>
  <c r="H38" i="3"/>
  <c r="M37" i="3"/>
  <c r="L37" i="3"/>
  <c r="J37" i="3"/>
  <c r="J36" i="3" s="1"/>
  <c r="H37" i="3"/>
  <c r="M36" i="3"/>
  <c r="L36" i="3"/>
  <c r="K36" i="3"/>
  <c r="I36" i="3"/>
  <c r="G36" i="3"/>
  <c r="G56" i="3" s="1"/>
  <c r="F36" i="3"/>
  <c r="H36" i="3" s="1"/>
  <c r="M35" i="3"/>
  <c r="L35" i="3"/>
  <c r="J35" i="3"/>
  <c r="H35" i="3"/>
  <c r="M34" i="3"/>
  <c r="L34" i="3"/>
  <c r="J34" i="3"/>
  <c r="H34" i="3"/>
  <c r="M33" i="3"/>
  <c r="L33" i="3"/>
  <c r="J33" i="3"/>
  <c r="H33" i="3"/>
  <c r="M32" i="3"/>
  <c r="L32" i="3"/>
  <c r="J32" i="3"/>
  <c r="H32" i="3"/>
  <c r="M31" i="3"/>
  <c r="L31" i="3"/>
  <c r="J31" i="3"/>
  <c r="H31" i="3"/>
  <c r="M30" i="3"/>
  <c r="L30" i="3"/>
  <c r="J30" i="3"/>
  <c r="H30" i="3"/>
  <c r="M29" i="3"/>
  <c r="L29" i="3"/>
  <c r="J29" i="3"/>
  <c r="H29" i="3"/>
  <c r="M28" i="3"/>
  <c r="L28" i="3"/>
  <c r="J28" i="3"/>
  <c r="H28" i="3"/>
  <c r="M27" i="3"/>
  <c r="L27" i="3"/>
  <c r="J27" i="3"/>
  <c r="H27" i="3"/>
  <c r="M26" i="3"/>
  <c r="L26" i="3"/>
  <c r="J26" i="3"/>
  <c r="H26" i="3"/>
  <c r="M25" i="3"/>
  <c r="L25" i="3"/>
  <c r="J25" i="3"/>
  <c r="H25" i="3"/>
  <c r="M24" i="3"/>
  <c r="L24" i="3"/>
  <c r="J24" i="3"/>
  <c r="H24" i="3"/>
  <c r="M23" i="3"/>
  <c r="L23" i="3"/>
  <c r="K23" i="3"/>
  <c r="G23" i="3"/>
  <c r="F23" i="3"/>
  <c r="J23" i="3" s="1"/>
  <c r="M22" i="3"/>
  <c r="L22" i="3"/>
  <c r="J22" i="3"/>
  <c r="H22" i="3"/>
  <c r="M21" i="3"/>
  <c r="L21" i="3"/>
  <c r="L19" i="3" s="1"/>
  <c r="J21" i="3"/>
  <c r="J19" i="3" s="1"/>
  <c r="H21" i="3"/>
  <c r="M20" i="3"/>
  <c r="L20" i="3"/>
  <c r="J20" i="3"/>
  <c r="H20" i="3"/>
  <c r="K19" i="3"/>
  <c r="I19" i="3"/>
  <c r="M19" i="3" s="1"/>
  <c r="G19" i="3"/>
  <c r="G11" i="3" s="1"/>
  <c r="F19" i="3"/>
  <c r="M18" i="3"/>
  <c r="L18" i="3"/>
  <c r="J18" i="3"/>
  <c r="H18" i="3"/>
  <c r="M17" i="3"/>
  <c r="L17" i="3"/>
  <c r="J17" i="3"/>
  <c r="H17" i="3"/>
  <c r="M16" i="3"/>
  <c r="L16" i="3"/>
  <c r="J16" i="3"/>
  <c r="H16" i="3"/>
  <c r="M15" i="3"/>
  <c r="L15" i="3"/>
  <c r="J15" i="3"/>
  <c r="J12" i="3" s="1"/>
  <c r="H15" i="3"/>
  <c r="M14" i="3"/>
  <c r="L14" i="3"/>
  <c r="J14" i="3"/>
  <c r="H14" i="3"/>
  <c r="M13" i="3"/>
  <c r="L13" i="3"/>
  <c r="J13" i="3"/>
  <c r="H13" i="3"/>
  <c r="K12" i="3"/>
  <c r="K11" i="3" s="1"/>
  <c r="K56" i="3" s="1"/>
  <c r="I12" i="3"/>
  <c r="I11" i="3" s="1"/>
  <c r="I56" i="3" s="1"/>
  <c r="F12" i="3"/>
  <c r="F11" i="3" s="1"/>
  <c r="F56" i="3" s="1"/>
  <c r="Q40" i="2" l="1"/>
  <c r="P40" i="2"/>
  <c r="R40" i="2"/>
  <c r="J11" i="3"/>
  <c r="J56" i="3"/>
  <c r="L12" i="3"/>
  <c r="L11" i="3" s="1"/>
  <c r="L56" i="3" s="1"/>
  <c r="M12" i="3"/>
  <c r="M11" i="3" s="1"/>
  <c r="M56" i="3" s="1"/>
  <c r="H12" i="3"/>
  <c r="H23" i="3"/>
  <c r="H19" i="3" s="1"/>
  <c r="H11" i="3" l="1"/>
  <c r="H56" i="3" s="1"/>
  <c r="R9" i="2" l="1"/>
  <c r="R10" i="2"/>
  <c r="R12" i="2"/>
  <c r="R13" i="2"/>
  <c r="R16" i="2"/>
  <c r="R17" i="2"/>
  <c r="R18" i="2"/>
  <c r="R19" i="2"/>
  <c r="R21" i="2"/>
  <c r="R22" i="2"/>
  <c r="R24" i="2"/>
  <c r="R25" i="2"/>
  <c r="R26" i="2"/>
  <c r="R27" i="2"/>
  <c r="R28" i="2"/>
  <c r="R29" i="2"/>
  <c r="R30" i="2"/>
  <c r="R32" i="2"/>
  <c r="R33" i="2"/>
  <c r="R34" i="2"/>
  <c r="R35" i="2"/>
  <c r="R36" i="2"/>
  <c r="R37" i="2"/>
  <c r="R38" i="2"/>
  <c r="R39" i="2"/>
  <c r="R77" i="2"/>
  <c r="R79" i="2"/>
  <c r="R78" i="2"/>
  <c r="R73" i="2"/>
  <c r="R76" i="2"/>
  <c r="R81" i="2"/>
  <c r="R82" i="2"/>
  <c r="R80" i="2" l="1"/>
  <c r="O31" i="2" l="1"/>
  <c r="O23" i="2"/>
  <c r="O20" i="2"/>
  <c r="Q20" i="2" l="1"/>
  <c r="P20" i="2"/>
  <c r="Q6" i="2"/>
  <c r="P6" i="2"/>
  <c r="Q23" i="2"/>
  <c r="P23" i="2"/>
  <c r="Q31" i="2"/>
  <c r="P31" i="2"/>
  <c r="R6" i="2"/>
  <c r="R20" i="2"/>
  <c r="R23" i="2"/>
  <c r="R31" i="2"/>
  <c r="U23" i="2" l="1"/>
  <c r="M14" i="2" l="1"/>
  <c r="N14" i="2" l="1"/>
  <c r="M5" i="2"/>
  <c r="N5" i="2" s="1"/>
  <c r="M83" i="2" l="1"/>
  <c r="N83" i="2" s="1"/>
  <c r="O15" i="2" l="1"/>
  <c r="O14" i="2" l="1"/>
  <c r="O5" i="2" s="1"/>
  <c r="P15" i="2"/>
  <c r="Q15" i="2"/>
  <c r="R15" i="2"/>
  <c r="P14" i="2" l="1"/>
  <c r="Q14" i="2"/>
  <c r="R14" i="2"/>
  <c r="W15" i="2"/>
  <c r="W14" i="2" l="1"/>
  <c r="X15" i="2"/>
  <c r="X14" i="2" s="1"/>
  <c r="Y15" i="2"/>
  <c r="Y14" i="2" s="1"/>
  <c r="Q5" i="2"/>
  <c r="P5" i="2"/>
  <c r="O83" i="2"/>
  <c r="R5" i="2"/>
  <c r="U15" i="2" l="1"/>
  <c r="U14" i="2" s="1"/>
  <c r="U5" i="2" s="1"/>
  <c r="U83" i="2" s="1"/>
  <c r="Q83" i="2"/>
  <c r="R83" i="2"/>
  <c r="P8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พิณทร์พนอ พิริยะวุฒิกุล</author>
  </authors>
  <commentList>
    <comment ref="L7" authorId="0" shapeId="0" xr:uid="{D79E7F06-923E-4A81-ABE3-45694F26C6F9}">
      <text>
        <r>
          <rPr>
            <sz val="9"/>
            <color indexed="81"/>
            <rFont val="Tahoma"/>
            <family val="2"/>
          </rPr>
          <t>ธปท.อนุมัติงบ 50,000.-
จัดสรรเงินช่วยเหลือพิเศษมาเพิ่ม 260,000.-</t>
        </r>
      </text>
    </comment>
    <comment ref="L8" authorId="0" shapeId="0" xr:uid="{1E88FBE2-37B7-4626-A26B-2A37C8B4F0F5}">
      <text>
        <r>
          <rPr>
            <b/>
            <sz val="9"/>
            <color indexed="81"/>
            <rFont val="Tahoma"/>
            <family val="2"/>
          </rPr>
          <t xml:space="preserve">ธ,ปท. อนุมัติงบ 5900,000
โอนไปงบ OT 260,000.-
</t>
        </r>
      </text>
    </comment>
    <comment ref="L9" authorId="0" shapeId="0" xr:uid="{135888CB-D567-40A4-BFB8-21DF415AF45B}">
      <text>
        <r>
          <rPr>
            <sz val="9"/>
            <color indexed="81"/>
            <rFont val="Tahoma"/>
            <family val="2"/>
          </rPr>
          <t xml:space="preserve">จัดสรรระหว่างปี โอนไป HR = -1,048,100 จำนวนที่ธนาคารอนุมัติเพิ่มจากที่ ฝรภ. ตั้งงบรองรับเกณฑ์ HR
</t>
        </r>
      </text>
    </comment>
    <comment ref="H10" authorId="0" shapeId="0" xr:uid="{E5C5F427-06C5-40E1-BABC-53D857E3FC8E}">
      <text>
        <r>
          <rPr>
            <b/>
            <sz val="9"/>
            <color indexed="81"/>
            <rFont val="Tahoma"/>
            <family val="2"/>
          </rPr>
          <t>- พนง.เก่า ต่ำกว่า ผบ. แจกชุด Tactical 1 ชุด / ชุดพิธีการ 1 ชุด (จัดหาทุก 3 ปี) เริ่มปี 70
- พนง.ใหม่ ที่เข้าทำงานปีแรก แจก 3 ชุด (ชุด Tactical 2 ชุด / ชุดพิธีการ 1 ชุด) &gt;&gt; ปีถัดไป เข้า track พนง.เก่า แจก 2 ชุด
- พนง.ใหม่ ที่เพิ่งเข้า ปี 68-69 ที่ได้ชุดพิธีการไปแล้ว จะยังไม่จัดหาให้ ในรอบปี 70 ซึ่งจะครบรอบ 3 ปี ไม่ตรงกับ พนง.เก่า
- ชุดพิธีการ สำนักงานภาคจะตัดเสื้อกับกาเอง เอง (แต่ไม่เกินราคากลาง) ส่วนรายการอื่นๆ ศอก. จัดหาให้
- ชุดสูท ใช้วิธีการเช้า ตั้งงบหมวดค่าเช่าอุปกาณ์ เครื่องมือ และเครื่องใช้</t>
        </r>
        <r>
          <rPr>
            <sz val="9"/>
            <color indexed="81"/>
            <rFont val="Tahoma"/>
            <family val="2"/>
          </rPr>
          <t xml:space="preserve">
</t>
        </r>
      </text>
    </comment>
    <comment ref="H11" authorId="0" shapeId="0" xr:uid="{D6C16C92-F45D-4AD3-B2FE-B2CDE26CF9BB}">
      <text>
        <r>
          <rPr>
            <b/>
            <sz val="9"/>
            <color indexed="81"/>
            <rFont val="Tahoma"/>
            <family val="2"/>
          </rPr>
          <t>- พนง.เก่า ต่ำกว่า ผบ. แจกชุด Tactical 1 ชุด / ชุดพิธีการ 1 ชุด (จัดหาทุก 3 ปี) เริ่มปี 70
- พนง.ใหม่ ที่เข้าทำงานปีแรก แจก 3 ชุด (ชุด Tactical 2 ชุด / ชุดพิธีการ 1 ชุด) &gt;&gt; ปีถัดไป เข้า track พนง.เก่า แจก 2 ชุด
- พนง.ใหม่ ที่เพิ่งเข้า ปี 68-69 ที่ได้ชุดพิธีการไปแล้ว จะยังไม่จัดหาให้ ในรอบปี 70 ซึ่งจะครบรอบ 3 ปี ไม่ตรงกับ พนง.เก่า
- ชุดพิธีการ สำนักงานภาคจะตัดเสื้อกับกาเอง เอง (แต่ไม่เกินราคากลาง) ส่วนรายการอื่นๆ ศอก. จัดหาให้
- ชุดสูท ใช้วิธีการเช้า ตั้งงบหมวดค่าเช่าอุปกาณ์ เครื่องมือ และเครื่องใช้</t>
        </r>
        <r>
          <rPr>
            <sz val="9"/>
            <color indexed="81"/>
            <rFont val="Tahoma"/>
            <family val="2"/>
          </rPr>
          <t xml:space="preserve">
</t>
        </r>
      </text>
    </comment>
    <comment ref="M14" authorId="0" shapeId="0" xr:uid="{AA5EB51E-BD49-49ED-9136-F0C09C91D71B}">
      <text>
        <r>
          <rPr>
            <b/>
            <sz val="9"/>
            <color indexed="81"/>
            <rFont val="Tahoma"/>
            <family val="2"/>
          </rPr>
          <t>เป็นตัวเลขตามที่ใชจ่ายจริงตามที่ตรวจรับงานจ้างแล้ว ไม่ใช่จาก dataภาพรวม</t>
        </r>
        <r>
          <rPr>
            <sz val="9"/>
            <color indexed="81"/>
            <rFont val="Tahoma"/>
            <family val="2"/>
          </rPr>
          <t xml:space="preserve">
</t>
        </r>
      </text>
    </comment>
    <comment ref="L15" authorId="0" shapeId="0" xr:uid="{4D28239B-3006-48FC-AD76-FA559D0036CB}">
      <text>
        <r>
          <rPr>
            <b/>
            <sz val="9"/>
            <color indexed="81"/>
            <rFont val="Tahoma"/>
            <family val="2"/>
          </rPr>
          <t xml:space="preserve">รวมข้อมูล OS ห้องควบคุม 4 คน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พิณทร์พนอ พิริยะวุฒิกุล</author>
  </authors>
  <commentList>
    <comment ref="L7" authorId="0" shapeId="0" xr:uid="{FD93C433-D13F-4707-BC5E-6D79A2AB4480}">
      <text>
        <r>
          <rPr>
            <sz val="9"/>
            <color indexed="81"/>
            <rFont val="Tahoma"/>
            <family val="2"/>
          </rPr>
          <t>ธปท.อนุมัติงบ 50,000.-
จัดสรรเงินช่วยเหลือพิเศษมาเพิ่ม 260,000.-</t>
        </r>
      </text>
    </comment>
    <comment ref="L8" authorId="0" shapeId="0" xr:uid="{A9CD79A8-E26E-4D96-806D-C02B8173F079}">
      <text>
        <r>
          <rPr>
            <b/>
            <sz val="9"/>
            <color indexed="81"/>
            <rFont val="Tahoma"/>
            <family val="2"/>
          </rPr>
          <t xml:space="preserve">ธ,ปท. อนุมัติงบ 5900,000
โอนไปงบ OT 260,000.-
</t>
        </r>
      </text>
    </comment>
    <comment ref="L9" authorId="0" shapeId="0" xr:uid="{FDFDD48F-8EF6-450B-A4CE-7557C295DB64}">
      <text>
        <r>
          <rPr>
            <sz val="9"/>
            <color indexed="81"/>
            <rFont val="Tahoma"/>
            <family val="2"/>
          </rPr>
          <t xml:space="preserve">จัดสรรระหว่างปี โอนไป HR = -1,048,100 จำนวนที่ธนาคารอนุมัติเพิ่มจากที่ ฝรภ. ตั้งงบรองรับเกณฑ์ HR
</t>
        </r>
      </text>
    </comment>
    <comment ref="H10" authorId="0" shapeId="0" xr:uid="{C093576E-E1DF-4412-ACC0-7506062CBE85}">
      <text>
        <r>
          <rPr>
            <b/>
            <sz val="9"/>
            <color indexed="81"/>
            <rFont val="Tahoma"/>
            <family val="2"/>
          </rPr>
          <t>- พนง.เก่า ต่ำกว่า ผบ. แจกชุด Tactical 1 ชุด / ชุดพิธีการ 1 ชุด (จัดหาทุก 3 ปี) เริ่มปี 70
- พนง.ใหม่ ที่เข้าทำงานปีแรก แจก 3 ชุด (ชุด Tactical 2 ชุด / ชุดพิธีการ 1 ชุด) &gt;&gt; ปีถัดไป เข้า track พนง.เก่า แจก 2 ชุด
- พนง.ใหม่ ที่เพิ่งเข้า ปี 68-69 ที่ได้ชุดพิธีการไปแล้ว จะยังไม่จัดหาให้ ในรอบปี 70 ซึ่งจะครบรอบ 3 ปี ไม่ตรงกับ พนง.เก่า
- ชุดพิธีการ สำนักงานภาคจะตัดเสื้อกับกาเอง เอง (แต่ไม่เกินราคากลาง) ส่วนรายการอื่นๆ ศอก. จัดหาให้
- ชุดสูท ใช้วิธีการเช้า ตั้งงบหมวดค่าเช่าอุปกาณ์ เครื่องมือ และเครื่องใช้</t>
        </r>
        <r>
          <rPr>
            <sz val="9"/>
            <color indexed="81"/>
            <rFont val="Tahoma"/>
            <family val="2"/>
          </rPr>
          <t xml:space="preserve">
</t>
        </r>
      </text>
    </comment>
    <comment ref="H11" authorId="0" shapeId="0" xr:uid="{3730CD7C-4B5C-486A-85A0-ED8CE2EF007C}">
      <text>
        <r>
          <rPr>
            <b/>
            <sz val="9"/>
            <color indexed="81"/>
            <rFont val="Tahoma"/>
            <family val="2"/>
          </rPr>
          <t>- พนง.เก่า ต่ำกว่า ผบ. แจกชุด Tactical 1 ชุด / ชุดพิธีการ 1 ชุด (จัดหาทุก 3 ปี) เริ่มปี 70
- พนง.ใหม่ ที่เข้าทำงานปีแรก แจก 3 ชุด (ชุด Tactical 2 ชุด / ชุดพิธีการ 1 ชุด) &gt;&gt; ปีถัดไป เข้า track พนง.เก่า แจก 2 ชุด
- พนง.ใหม่ ที่เพิ่งเข้า ปี 68-69 ที่ได้ชุดพิธีการไปแล้ว จะยังไม่จัดหาให้ ในรอบปี 70 ซึ่งจะครบรอบ 3 ปี ไม่ตรงกับ พนง.เก่า
- ชุดพิธีการ สำนักงานภาคจะตัดเสื้อกับกาเอง เอง (แต่ไม่เกินราคากลาง) ส่วนรายการอื่นๆ ศอก. จัดหาให้
- ชุดสูท ใช้วิธีการเช้า ตั้งงบหมวดค่าเช่าอุปกาณ์ เครื่องมือ และเครื่องใช้</t>
        </r>
        <r>
          <rPr>
            <sz val="9"/>
            <color indexed="81"/>
            <rFont val="Tahoma"/>
            <family val="2"/>
          </rPr>
          <t xml:space="preserve">
</t>
        </r>
      </text>
    </comment>
    <comment ref="M14" authorId="0" shapeId="0" xr:uid="{12C1B5A2-BA0F-441A-AA2D-54964E2E166B}">
      <text>
        <r>
          <rPr>
            <b/>
            <sz val="9"/>
            <color indexed="81"/>
            <rFont val="Tahoma"/>
            <family val="2"/>
          </rPr>
          <t>เป็นตัวเลขตามที่ใชจ่ายจริงตามที่ตรวจรับงานจ้างแล้ว ไม่ใช่จาก dataภาพรวม</t>
        </r>
        <r>
          <rPr>
            <sz val="9"/>
            <color indexed="81"/>
            <rFont val="Tahoma"/>
            <family val="2"/>
          </rPr>
          <t xml:space="preserve">
</t>
        </r>
      </text>
    </comment>
    <comment ref="L15" authorId="0" shapeId="0" xr:uid="{F9E11867-30FF-4389-BDAB-B0EB70AE5A97}">
      <text>
        <r>
          <rPr>
            <b/>
            <sz val="9"/>
            <color indexed="81"/>
            <rFont val="Tahoma"/>
            <family val="2"/>
          </rPr>
          <t xml:space="preserve">รวมข้อมูล OS ห้องควบคุม 4 คน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พิณทร์พนอ พิริยะวุฒิกุล</author>
  </authors>
  <commentList>
    <comment ref="L7" authorId="0" shapeId="0" xr:uid="{7CFB0E6B-8EF2-4E76-A655-65BAD0D6C3FE}">
      <text>
        <r>
          <rPr>
            <sz val="9"/>
            <color indexed="81"/>
            <rFont val="Tahoma"/>
            <family val="2"/>
          </rPr>
          <t>ธปท.อนุมัติงบ 50,000.-
จัดสรรเงินช่วยเหลือพิเศษมาเพิ่ม 260,000.-</t>
        </r>
      </text>
    </comment>
    <comment ref="L8" authorId="0" shapeId="0" xr:uid="{CE280706-F7F6-4F3E-A17F-FCB59FCE12F2}">
      <text>
        <r>
          <rPr>
            <b/>
            <sz val="9"/>
            <color indexed="81"/>
            <rFont val="Tahoma"/>
            <family val="2"/>
          </rPr>
          <t xml:space="preserve">ธ,ปท. อนุมัติงบ 5900,000
โอนไปงบ OT 260,000.-
</t>
        </r>
      </text>
    </comment>
    <comment ref="L9" authorId="0" shapeId="0" xr:uid="{40D73BA8-2F49-414C-AE11-E93482C522E5}">
      <text>
        <r>
          <rPr>
            <sz val="9"/>
            <color indexed="81"/>
            <rFont val="Tahoma"/>
            <family val="2"/>
          </rPr>
          <t xml:space="preserve">จัดสรรระหว่างปี โอนไป HR = -1,048,100 จำนวนที่ธนาคารอนุมัติเพิ่มจากที่ ฝรภ. ตั้งงบรองรับเกณฑ์ HR
</t>
        </r>
      </text>
    </comment>
    <comment ref="H10" authorId="0" shapeId="0" xr:uid="{61BE1A0D-81F0-45AF-83D7-D6607A1BDDF5}">
      <text>
        <r>
          <rPr>
            <b/>
            <sz val="9"/>
            <color indexed="81"/>
            <rFont val="Tahoma"/>
            <family val="2"/>
          </rPr>
          <t>- พนง.เก่า ต่ำกว่า ผบ. แจกชุด Tactical 1 ชุด / ชุดพิธีการ 1 ชุด (จัดหาทุก 3 ปี) เริ่มปี 70
- พนง.ใหม่ ที่เข้าทำงานปีแรก แจก 3 ชุด (ชุด Tactical 2 ชุด / ชุดพิธีการ 1 ชุด) &gt;&gt; ปีถัดไป เข้า track พนง.เก่า แจก 2 ชุด
- พนง.ใหม่ ที่เพิ่งเข้า ปี 68-69 ที่ได้ชุดพิธีการไปแล้ว จะยังไม่จัดหาให้ ในรอบปี 70 ซึ่งจะครบรอบ 3 ปี ไม่ตรงกับ พนง.เก่า
- ชุดพิธีการ สำนักงานภาคจะตัดเสื้อกับกาเอง เอง (แต่ไม่เกินราคากลาง) ส่วนรายการอื่นๆ ศอก. จัดหาให้
- ชุดสูท ใช้วิธีการเช้า ตั้งงบหมวดค่าเช่าอุปกาณ์ เครื่องมือ และเครื่องใช้</t>
        </r>
        <r>
          <rPr>
            <sz val="9"/>
            <color indexed="81"/>
            <rFont val="Tahoma"/>
            <family val="2"/>
          </rPr>
          <t xml:space="preserve">
</t>
        </r>
      </text>
    </comment>
    <comment ref="H11" authorId="0" shapeId="0" xr:uid="{AC86C7D5-6E59-4186-9D52-F478AAB82BA2}">
      <text>
        <r>
          <rPr>
            <b/>
            <sz val="9"/>
            <color indexed="81"/>
            <rFont val="Tahoma"/>
            <family val="2"/>
          </rPr>
          <t>- พนง.เก่า ต่ำกว่า ผบ. แจกชุด Tactical 1 ชุด / ชุดพิธีการ 1 ชุด (จัดหาทุก 3 ปี) เริ่มปี 70
- พนง.ใหม่ ที่เข้าทำงานปีแรก แจก 3 ชุด (ชุด Tactical 2 ชุด / ชุดพิธีการ 1 ชุด) &gt;&gt; ปีถัดไป เข้า track พนง.เก่า แจก 2 ชุด
- พนง.ใหม่ ที่เพิ่งเข้า ปี 68-69 ที่ได้ชุดพิธีการไปแล้ว จะยังไม่จัดหาให้ ในรอบปี 70 ซึ่งจะครบรอบ 3 ปี ไม่ตรงกับ พนง.เก่า
- ชุดพิธีการ สำนักงานภาคจะตัดเสื้อกับกาเอง เอง (แต่ไม่เกินราคากลาง) ส่วนรายการอื่นๆ ศอก. จัดหาให้
- ชุดสูท ใช้วิธีการเช้า ตั้งงบหมวดค่าเช่าอุปกาณ์ เครื่องมือ และเครื่องใช้</t>
        </r>
        <r>
          <rPr>
            <sz val="9"/>
            <color indexed="81"/>
            <rFont val="Tahoma"/>
            <family val="2"/>
          </rPr>
          <t xml:space="preserve">
</t>
        </r>
      </text>
    </comment>
    <comment ref="M14" authorId="0" shapeId="0" xr:uid="{1C0AA608-342A-4486-8372-B4F3D515FD3A}">
      <text>
        <r>
          <rPr>
            <b/>
            <sz val="9"/>
            <color indexed="81"/>
            <rFont val="Tahoma"/>
            <family val="2"/>
          </rPr>
          <t>เป็นตัวเลขตามที่ใชจ่ายจริงตามที่ตรวจรับงานจ้างแล้ว ไม่ใช่จาก dataภาพรวม</t>
        </r>
        <r>
          <rPr>
            <sz val="9"/>
            <color indexed="81"/>
            <rFont val="Tahoma"/>
            <family val="2"/>
          </rPr>
          <t xml:space="preserve">
</t>
        </r>
      </text>
    </comment>
    <comment ref="L15" authorId="0" shapeId="0" xr:uid="{DD9921FF-0D0B-4475-90ED-A6BCC34AE718}">
      <text>
        <r>
          <rPr>
            <b/>
            <sz val="9"/>
            <color indexed="81"/>
            <rFont val="Tahoma"/>
            <family val="2"/>
          </rPr>
          <t xml:space="preserve">รวมข้อมูล OS ห้องควบคุม 4 คน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พิณทร์พนอ พิริยะวุฒิกุล</author>
  </authors>
  <commentList>
    <comment ref="L7" authorId="0" shapeId="0" xr:uid="{7F0841B2-1D50-418C-899C-3D3A1A590DA4}">
      <text>
        <r>
          <rPr>
            <sz val="9"/>
            <color indexed="81"/>
            <rFont val="Tahoma"/>
            <family val="2"/>
          </rPr>
          <t>ธปท.อนุมัติงบ 50,000.-
จัดสรรเงินช่วยเหลือพิเศษมาเพิ่ม 260,000.-</t>
        </r>
      </text>
    </comment>
    <comment ref="L8" authorId="0" shapeId="0" xr:uid="{82E0285C-7C93-479C-B558-1308070A5861}">
      <text>
        <r>
          <rPr>
            <b/>
            <sz val="9"/>
            <color indexed="81"/>
            <rFont val="Tahoma"/>
            <family val="2"/>
          </rPr>
          <t xml:space="preserve">ธ,ปท. อนุมัติงบ 5900,000
โอนไปงบ OT 260,000.-
</t>
        </r>
      </text>
    </comment>
    <comment ref="L9" authorId="0" shapeId="0" xr:uid="{F2CD9144-AF4F-40A8-AF2F-1D8E662FC419}">
      <text>
        <r>
          <rPr>
            <sz val="9"/>
            <color indexed="81"/>
            <rFont val="Tahoma"/>
            <family val="2"/>
          </rPr>
          <t xml:space="preserve">จัดสรรระหว่างปี โอนไป HR = -1,048,100 จำนวนที่ธนาคารอนุมัติเพิ่มจากที่ ฝรภ. ตั้งงบรองรับเกณฑ์ HR
</t>
        </r>
      </text>
    </comment>
    <comment ref="H10" authorId="0" shapeId="0" xr:uid="{ECA8EF03-C687-49C9-AE51-6C5EB90A8D9B}">
      <text>
        <r>
          <rPr>
            <b/>
            <sz val="9"/>
            <color indexed="81"/>
            <rFont val="Tahoma"/>
            <family val="2"/>
          </rPr>
          <t>- พนง.เก่า ต่ำกว่า ผบ. แจกชุด Tactical 1 ชุด / ชุดพิธีการ 1 ชุด (จัดหาทุก 3 ปี) เริ่มปี 70
- พนง.ใหม่ ที่เข้าทำงานปีแรก แจก 3 ชุด (ชุด Tactical 2 ชุด / ชุดพิธีการ 1 ชุด) &gt;&gt; ปีถัดไป เข้า track พนง.เก่า แจก 2 ชุด
- พนง.ใหม่ ที่เพิ่งเข้า ปี 68-69 ที่ได้ชุดพิธีการไปแล้ว จะยังไม่จัดหาให้ ในรอบปี 70 ซึ่งจะครบรอบ 3 ปี ไม่ตรงกับ พนง.เก่า
- ชุดพิธีการ สำนักงานภาคจะตัดเสื้อกับกาเอง เอง (แต่ไม่เกินราคากลาง) ส่วนรายการอื่นๆ ศอก. จัดหาให้
- ชุดสูท ใช้วิธีการเช้า ตั้งงบหมวดค่าเช่าอุปกาณ์ เครื่องมือ และเครื่องใช้</t>
        </r>
        <r>
          <rPr>
            <sz val="9"/>
            <color indexed="81"/>
            <rFont val="Tahoma"/>
            <family val="2"/>
          </rPr>
          <t xml:space="preserve">
</t>
        </r>
      </text>
    </comment>
    <comment ref="H11" authorId="0" shapeId="0" xr:uid="{639B7D31-FEFF-4A56-B55C-1BAFEBBD798B}">
      <text>
        <r>
          <rPr>
            <b/>
            <sz val="9"/>
            <color indexed="81"/>
            <rFont val="Tahoma"/>
            <family val="2"/>
          </rPr>
          <t>- พนง.เก่า ต่ำกว่า ผบ. แจกชุด Tactical 1 ชุด / ชุดพิธีการ 1 ชุด (จัดหาทุก 3 ปี) เริ่มปี 70
- พนง.ใหม่ ที่เข้าทำงานปีแรก แจก 3 ชุด (ชุด Tactical 2 ชุด / ชุดพิธีการ 1 ชุด) &gt;&gt; ปีถัดไป เข้า track พนง.เก่า แจก 2 ชุด
- พนง.ใหม่ ที่เพิ่งเข้า ปี 68-69 ที่ได้ชุดพิธีการไปแล้ว จะยังไม่จัดหาให้ ในรอบปี 70 ซึ่งจะครบรอบ 3 ปี ไม่ตรงกับ พนง.เก่า
- ชุดพิธีการ สำนักงานภาคจะตัดเสื้อกับกาเอง เอง (แต่ไม่เกินราคากลาง) ส่วนรายการอื่นๆ ศอก. จัดหาให้
- ชุดสูท ใช้วิธีการเช้า ตั้งงบหมวดค่าเช่าอุปกาณ์ เครื่องมือ และเครื่องใช้</t>
        </r>
        <r>
          <rPr>
            <sz val="9"/>
            <color indexed="81"/>
            <rFont val="Tahoma"/>
            <family val="2"/>
          </rPr>
          <t xml:space="preserve">
</t>
        </r>
      </text>
    </comment>
    <comment ref="M14" authorId="0" shapeId="0" xr:uid="{AAD61945-EC53-4AA1-8E72-89A0BE2D23C0}">
      <text>
        <r>
          <rPr>
            <b/>
            <sz val="9"/>
            <color indexed="81"/>
            <rFont val="Tahoma"/>
            <family val="2"/>
          </rPr>
          <t>เป็นตัวเลขตามที่ใชจ่ายจริงตามที่ตรวจรับงานจ้างแล้ว ไม่ใช่จาก dataภาพรวม</t>
        </r>
        <r>
          <rPr>
            <sz val="9"/>
            <color indexed="81"/>
            <rFont val="Tahoma"/>
            <family val="2"/>
          </rPr>
          <t xml:space="preserve">
</t>
        </r>
      </text>
    </comment>
    <comment ref="L15" authorId="0" shapeId="0" xr:uid="{0CA311F6-2728-45E6-8343-A2A971F071C9}">
      <text>
        <r>
          <rPr>
            <b/>
            <sz val="9"/>
            <color indexed="81"/>
            <rFont val="Tahoma"/>
            <family val="2"/>
          </rPr>
          <t xml:space="preserve">รวมข้อมูล OS ห้องควบคุม 4 คน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พิณทร์พนอ พิริยะวุฒิกุล</author>
  </authors>
  <commentList>
    <comment ref="H11" authorId="0" shapeId="0" xr:uid="{5DEAA9B2-59B2-4C2B-9978-433658BE9A37}">
      <text>
        <r>
          <rPr>
            <b/>
            <sz val="9"/>
            <color indexed="81"/>
            <rFont val="Tahoma"/>
            <family val="2"/>
          </rPr>
          <t>ธปท.อนุมัติงบ 50,000.-
จัดสรรเงินช่วยเหลือพิเศษมาเพิ่ม 260,000.-</t>
        </r>
      </text>
    </comment>
    <comment ref="H12" authorId="0" shapeId="0" xr:uid="{B8E38D75-2121-46A0-9E02-5614011B9CE0}">
      <text>
        <r>
          <rPr>
            <b/>
            <sz val="9"/>
            <color indexed="81"/>
            <rFont val="Tahoma"/>
            <family val="2"/>
          </rPr>
          <t>ธ,ปท. อนุมัติงบ 5900,000
โอนไปงบ OT 260,000.-</t>
        </r>
      </text>
    </comment>
    <comment ref="H13" authorId="0" shapeId="0" xr:uid="{0718BF4D-3052-44EF-9539-5DD246F7C2F2}">
      <text>
        <r>
          <rPr>
            <b/>
            <sz val="9"/>
            <color indexed="81"/>
            <rFont val="Tahoma"/>
            <family val="2"/>
          </rPr>
          <t>จัดสรรระหว่างปี โอนไป HR = -1,048,100 จำนวนที่ธนาคารอนุมัติเพิ่มจากที่ ฝรภ. ตั้งงบรองรับเกณฑ์ HR</t>
        </r>
      </text>
    </comment>
    <comment ref="L17" authorId="0" shapeId="0" xr:uid="{757ADC8D-C363-4AC7-A150-9EE81602F4BD}">
      <text>
        <r>
          <rPr>
            <sz val="9"/>
            <color indexed="81"/>
            <rFont val="Tahoma"/>
            <family val="2"/>
          </rPr>
          <t xml:space="preserve">เป็นตัวเลขตามที่ใชจ่ายจริงตามที่ตรวจรับงานจ้างแล้ว ไม่ใช่จาก dataภาพรวม
</t>
        </r>
      </text>
    </comment>
  </commentList>
</comments>
</file>

<file path=xl/sharedStrings.xml><?xml version="1.0" encoding="utf-8"?>
<sst xmlns="http://schemas.openxmlformats.org/spreadsheetml/2006/main" count="2414" uniqueCount="707">
  <si>
    <t>สรุปรายละเอียดคำขอตั้งงบประมาณของฝ่ายรักษาความปลอดภัย ประจำปี 2570 - สิ้นสุด</t>
  </si>
  <si>
    <t>รหัสงบฯ</t>
  </si>
  <si>
    <t>File
ประกอบ</t>
  </si>
  <si>
    <t>ชื่องบประมาณ/ชื่อบัญชี</t>
  </si>
  <si>
    <t>คำนิยาม</t>
  </si>
  <si>
    <t xml:space="preserve">งบปี 2569 </t>
  </si>
  <si>
    <r>
      <t>คำขอปี 2570 (</t>
    </r>
    <r>
      <rPr>
        <b/>
        <sz val="11"/>
        <color theme="9" tint="-0.249977111117893"/>
        <rFont val="Arial"/>
        <family val="2"/>
      </rPr>
      <t xml:space="preserve"> เพิ่มขึ้น</t>
    </r>
    <r>
      <rPr>
        <b/>
        <sz val="11"/>
        <color rgb="FF0000FF"/>
        <rFont val="Arial"/>
        <family val="2"/>
      </rPr>
      <t xml:space="preserve"> / </t>
    </r>
    <r>
      <rPr>
        <b/>
        <sz val="11"/>
        <color rgb="FFC00000"/>
        <rFont val="Arial"/>
        <family val="2"/>
      </rPr>
      <t>ลดลง</t>
    </r>
    <r>
      <rPr>
        <b/>
        <sz val="11"/>
        <color rgb="FF0000FF"/>
        <rFont val="Arial"/>
        <family val="2"/>
      </rPr>
      <t xml:space="preserve"> )</t>
    </r>
  </si>
  <si>
    <t>คำขอปี 2570 - สิ้นสุดแผนงาน</t>
  </si>
  <si>
    <r>
      <t xml:space="preserve">งบที่ได้ปี 69
</t>
    </r>
    <r>
      <rPr>
        <b/>
        <sz val="9"/>
        <color rgb="FF0000FF"/>
        <rFont val="Arial"/>
        <family val="2"/>
      </rPr>
      <t>+จัดสรรระหว่างปี</t>
    </r>
  </si>
  <si>
    <t>ใช้ไป 
ณ 31 ก.ค. 69</t>
  </si>
  <si>
    <t>%ใช้ไป 
ปี 2569</t>
  </si>
  <si>
    <t>งบปี 2570</t>
  </si>
  <si>
    <t>เทียบกับ
ปี 2569</t>
  </si>
  <si>
    <t>% เทียบกับ
ปี 2569</t>
  </si>
  <si>
    <t>เปลี่ยนแปลง</t>
  </si>
  <si>
    <t>เหตุผล</t>
  </si>
  <si>
    <t>หน่วย</t>
  </si>
  <si>
    <t>จำนวนเงิน</t>
  </si>
  <si>
    <t>1. หมวดค่าใช้จ่าย</t>
  </si>
  <si>
    <t>อัตรา ฝรภ. กำลังลดลง /จัดซื้อ OS ได้ราคาถูกลง /MA สนภ.ตั้งงบเอง</t>
  </si>
  <si>
    <t xml:space="preserve"> --</t>
  </si>
  <si>
    <t>1. ค่าตอบแทนการทำงานนอกเวลา</t>
  </si>
  <si>
    <t>มี 2 ส่วน ดังนี้</t>
  </si>
  <si>
    <t>เพิ่มทั้งหมวด OT + ศปภ. เข้าเวร ดังนี้</t>
  </si>
  <si>
    <t>-</t>
  </si>
  <si>
    <t>ok</t>
  </si>
  <si>
    <t>A1-1</t>
  </si>
  <si>
    <t>1.1 ค่าล่วงเวลาและค่าตอบแทนการทำงานเกินเวลา</t>
  </si>
  <si>
    <t>1.-ฝรภ.ปฏิบัติงานแทน OS หยุดงาน+เกิดเหตุไม่ปกติ 
   -ศสป. ศอก. สนับสนุนงาน ศปภ. วันหยุด+นอกเวลางาน
   -ฝรภ. ปฏิบัติงานเร่งด่วน วันหยุด+นอกเวลางาน</t>
  </si>
  <si>
    <t>มีปรับตาราง</t>
  </si>
  <si>
    <t>A1-2</t>
  </si>
  <si>
    <t>1.2 เงินช่วยเหลือพิเศษ</t>
  </si>
  <si>
    <t>2. ค่าเข้าเวร นอกเวลาปกติ/ วันหยุด</t>
  </si>
  <si>
    <t>เอกสารแนบ สีแดง สงสัย</t>
  </si>
  <si>
    <t>A2</t>
  </si>
  <si>
    <t>2. เงินช่วยเหลืออื่น ๆ (ปฏิบัติงานต่าง สนง.)</t>
  </si>
  <si>
    <t>1. ค่าจัดซื้อของเหมาจ่าย (ให้ครั้งเดียว และเมื่อย้าย)
2. บ้านพัก/ค่าเช่าบ้าน @ 8,000/เดือน
3. เงินช่วยเหลือพิเศษ @ 5,500/เดือน</t>
  </si>
  <si>
    <t xml:space="preserve"> -อัตรากำลังลดลงจาก 108 &gt;&gt; 103 คน
 -ปี 70 ศปภ.ครบวงรอบย้ายลดลง</t>
  </si>
  <si>
    <t>รอราคา</t>
  </si>
  <si>
    <t>A3-1</t>
  </si>
  <si>
    <t>3.1 ค่าเสื้อผ้าและเครื่องแบบ</t>
  </si>
  <si>
    <t>แจก ชุดปฏิบัติการ / ชุดพิธีการ 
(พนง.เก่า 2 ชุด /พนง.ใหม่ 3 ชุด)</t>
  </si>
  <si>
    <t>A3-2</t>
  </si>
  <si>
    <t>เช่าชุดสูทปฏิบัติหน้าที่</t>
  </si>
  <si>
    <t>A4</t>
  </si>
  <si>
    <t>4. คชจ.กิจกรรมส่งเสริมค่านิยมร่วมขององค์กร (สคส.)</t>
  </si>
  <si>
    <t>อัตรากำลัง @1,000.- ตามที่ ฝยว. กำหนด</t>
  </si>
  <si>
    <t xml:space="preserve"> -อัตรากำลังลดลงจาก 165 &gt;&gt; 145 คน (อัตราที่ประกาศ)</t>
  </si>
  <si>
    <t>A5</t>
  </si>
  <si>
    <t>5. ค่าฝึกอบรมและพัฒนาพนักงาน</t>
  </si>
  <si>
    <t>งบฝึกอบรมและค่าใช้จ่ายในการเดินทางไปอบรม</t>
  </si>
  <si>
    <t xml:space="preserve"> -ปี 70 = อัตราที่ประกาศทางการ 145 คน
 -ปี 69 = อัตราที่ยังไม่ประกาศทางการ 145 คน</t>
  </si>
  <si>
    <t>A6-1 (ปี69)</t>
  </si>
  <si>
    <t>6. ค่าจ้างงานรักษาความปลอดภัย</t>
  </si>
  <si>
    <t>ค่าจ้าง OS  5 พื้นที่ทั้วประเทศ ดังนี้</t>
  </si>
  <si>
    <t>ทุกกลุ่ม : ปี 69 ราคากลางสืบใหม่ /ปี 70 ราคาตามสัญญาซึ่งถูกกว่าราคากลาง</t>
  </si>
  <si>
    <t xml:space="preserve">1. กลุ่ม1-สนญ. </t>
  </si>
  <si>
    <t>1.กลุ่ม 1, 5  เพิ่มเนื่องจาก 
  - กลุ่ม 1 ตั้งแต่ ธ.ค. 69 เพิ่ม 0S ห้องควบคุม 4 คน 
  - กลุ่ม 5 ปี 70 สืบราคาเพื่อจัดซื้อใหม่ หลังบอกเลิกสัญญา สูงกว่าราคาปี 69</t>
  </si>
  <si>
    <t xml:space="preserve">2. กลุ่ม2-สภน./ศชม. </t>
  </si>
  <si>
    <t>A6-2 (ปี70)</t>
  </si>
  <si>
    <t>3. กลุ่ม3-สภอ.</t>
  </si>
  <si>
    <t>4. กลุ่ม4-สภต./ศหญ. ศสร. ศพง.</t>
  </si>
  <si>
    <t>5. กลุ่ม5-สอบ. ศรย.</t>
  </si>
  <si>
    <t>7. ค่าจ้าง/ค่าตอบแทน</t>
  </si>
  <si>
    <t>A7-1</t>
  </si>
  <si>
    <t>7.1 ค่าจ้างแรงงาน/ทำของ-งานทั่วไป</t>
  </si>
  <si>
    <t>1. ค่าซ่อมบัตร RFID  และ
    ค่าตรวจสอบเครื่องอัดอากาศช่วยหายใจในการดับเพลิง</t>
  </si>
  <si>
    <t>0k</t>
  </si>
  <si>
    <t>A7-2</t>
  </si>
  <si>
    <t>7.2 ค่าตอบแทนบุคคลภายนอกอื่น ๆ</t>
  </si>
  <si>
    <t xml:space="preserve">2. ตร. ช่วยรักษาการณ์ ศปภ. </t>
  </si>
  <si>
    <t>A8</t>
  </si>
  <si>
    <t xml:space="preserve">8. ค่าซ่อมแซมและบํารุงรักษา - อุปกรณ์และระบบคอมฯ </t>
  </si>
  <si>
    <t>มี 3 ส่วน ดังนี้</t>
  </si>
  <si>
    <t>ลดลงทั้ง 3 สัญญาดังนี้</t>
  </si>
  <si>
    <t>1. ค่าซ่อมบำรุง CCTV</t>
  </si>
  <si>
    <t>2. จ้างบำรุงรักษาอุปกรณ์ Visitor Management (เครื่องอ่านบัตรประชาชน, เครื่องอ่าน Passport, เครื่องถ่ายรูปบัตร)</t>
  </si>
  <si>
    <t xml:space="preserve">3. จ้างบำรุงรักษาเครื่องพิมพ์บัตร Access Card ยี่ห้อ Datacard </t>
  </si>
  <si>
    <t xml:space="preserve"> -</t>
  </si>
  <si>
    <t>A9</t>
  </si>
  <si>
    <t>9. ค่าวัสดุคอมพิวเตอร์</t>
  </si>
  <si>
    <t xml:space="preserve"> จัดหาบัตร Mifare /RFID /Access Card (บัตรพนักงาน)</t>
  </si>
  <si>
    <t>A10</t>
  </si>
  <si>
    <t>10. ค่าวัสดุทั่วไป</t>
  </si>
  <si>
    <t>1.วัสดุในงานห้องบัตร เช่น บัตร RFID 
2. วัสดุส่วนกลาง เช่น วัสดุสำนักงาน
3.วัสดุงาน รปภ. เช่น ถังดับเพลิง ผ้าคลุมรถ EV ฯลฯ</t>
  </si>
  <si>
    <t>A11</t>
  </si>
  <si>
    <t>11. ค่าใช้จ่ายในการจัดงานและพิธีต่าง ๆ</t>
  </si>
  <si>
    <t xml:space="preserve">จัดงาน Financial Crime Investigaion </t>
  </si>
  <si>
    <t>A12</t>
  </si>
  <si>
    <t>12. ค่ารับรอง</t>
  </si>
  <si>
    <t>1. ค่ารับรองของ ผอ.
2. ค่ารับรองของ ศปภ. 5 แห่ง</t>
  </si>
  <si>
    <t>จำเป็นต้องสร้าง connection เหมือนเดิม</t>
  </si>
  <si>
    <t>A13</t>
  </si>
  <si>
    <t>13. ค่าใช้จ่ายเดินทาง</t>
  </si>
  <si>
    <t>ค่าเบี้ยเลี้ยง ที่พัก และพาหนะเดินทาง มี 5 ส่วน ดังนี้</t>
  </si>
  <si>
    <t>ปรับกระบวนการ ศอก. ใช้คนตรวจน้อยลงเป็นสำคัญ</t>
  </si>
  <si>
    <t>1. ศปภ.เยี่ยมครอบครัว</t>
  </si>
  <si>
    <t>n.a.</t>
  </si>
  <si>
    <t>1.มีกลุ่มคนประจำต่างสำนักงานมากขึ้น</t>
  </si>
  <si>
    <t>2. ผู้บริหาร ศปก. / ศอก. เดินทางไปภูมิภาค /หชป.เวียนงาน</t>
  </si>
  <si>
    <t>2.ศอก./ศปภ. ใช้คนตรวจน้อยลง / ทริป ผอ. ลดลง</t>
  </si>
  <si>
    <t>3. ศปภ. โยกย้าย</t>
  </si>
  <si>
    <t>3.โยกย้ายมากขึ้น เมื่อหลักเกณฑ์ท้องถิ่นออกปีแรก</t>
  </si>
  <si>
    <t>4. งานสืบสวนและประมวลข่าว</t>
  </si>
  <si>
    <t>4. ตั้งเท่าปีก่อน /เพียงพอใช้</t>
  </si>
  <si>
    <t>A14</t>
  </si>
  <si>
    <t>14. ค่าธรรมเนียมอื่น ๆ</t>
  </si>
  <si>
    <t xml:space="preserve">1. ค่าความถี่และค่าต่ออายุวิทยุสื่อสาร 
2. ใบอนุญาตยุทธภัณฑ์ 
3. ค่าตรวจรังสี พนง.รปภ. 7 เครื่อง และ 14 คน
4. ค่าจัดสรรคลื่นความถี่วิทยุ
5. ใบอนุญาตครอบครองเครื่องกำเนิดรังสี </t>
  </si>
  <si>
    <t>มีโปรใช้ร่วมกัน</t>
  </si>
  <si>
    <t>เช็คโปร?</t>
  </si>
  <si>
    <t>A15-1</t>
  </si>
  <si>
    <r>
      <t>15. ค่าสิทธิ์การใช้โปรแกรม</t>
    </r>
    <r>
      <rPr>
        <b/>
        <sz val="8"/>
        <color indexed="62"/>
        <rFont val="Arial"/>
        <family val="2"/>
      </rPr>
      <t>ส่วนงาน</t>
    </r>
    <r>
      <rPr>
        <b/>
        <sz val="8"/>
        <color indexed="8"/>
        <rFont val="Arial"/>
        <family val="2"/>
      </rPr>
      <t xml:space="preserve"> </t>
    </r>
  </si>
  <si>
    <t>ใช้โปรแกรม Canva Pro 4 license</t>
  </si>
  <si>
    <t>เพิ่ม 1 licence รวมเป็น 4 licence (ศอก. 2, ศสป. 1, ศปภ. 1)</t>
  </si>
  <si>
    <t>A15-2</t>
  </si>
  <si>
    <r>
      <t>16. ค่าสิทธิ์การใช้โปรแกรม</t>
    </r>
    <r>
      <rPr>
        <b/>
        <sz val="8"/>
        <color indexed="62"/>
        <rFont val="Arial"/>
        <family val="2"/>
      </rPr>
      <t>ส่วนกลาง</t>
    </r>
  </si>
  <si>
    <t xml:space="preserve">ใช้โปรแกรม Adobe 1 license </t>
  </si>
  <si>
    <t>เพิ่ม 1 licence รวมเป็น 2 licence (พนง. 1,OS 1) + ราคาปรับตัวเพิ่ม</t>
  </si>
  <si>
    <t>A16</t>
  </si>
  <si>
    <t>17. ค่าใช้จ่ายในการสืบสวนเกี่ยวกับงาน รปภ.</t>
  </si>
  <si>
    <t>ใช้สืบสวนของ ทสส.1-2</t>
  </si>
  <si>
    <t>ตั้งเท่าปีก่อน /เพียงพอใช้</t>
  </si>
  <si>
    <t>หน่วยงานที่ขอตั้ง</t>
  </si>
  <si>
    <t xml:space="preserve">2. หมวดสินทรัพย์ถาวร </t>
  </si>
  <si>
    <t>จำนวนปี 69</t>
  </si>
  <si>
    <t>ราคา @ ปี 69</t>
  </si>
  <si>
    <t>จำนวนปี 70</t>
  </si>
  <si>
    <t>ราคา @ ปี 70</t>
  </si>
  <si>
    <t>รอแบบขอ / ฝจอ ไม่บวก 10%</t>
  </si>
  <si>
    <t>ฝจอ ไม่บวกราคา</t>
  </si>
  <si>
    <t>AUC</t>
  </si>
  <si>
    <t>B1</t>
  </si>
  <si>
    <t>ระบบห้องควบคุม ฝรภ. อาคาร 1 และ 2
(Wall monitor ห้องควบคุม อาคาร 1, 2  และซื้อเครื่อง HDR จำนวน 9 เครื่อง และ work station จำนวน 1 เครื่องห้องควบคุมอาคาร 2)</t>
  </si>
  <si>
    <t>รอแบบขอ</t>
  </si>
  <si>
    <t>B2</t>
  </si>
  <si>
    <t>ระบบแจ้งเตือนขอความช่วยเหลือเมื่อเกิดเหตุการณ์ไม่ปกติ (Auto dialer + Panic Switch)</t>
  </si>
  <si>
    <t>1.Auto dialer: ติดตั้งอาคาร 1 + 2 ห้องละ 3 ตัว
2.Panic Switch: ติดตั้ง อาคาร ศรร.</t>
  </si>
  <si>
    <t>ราคาไม่รวมอุปกรณ์ ราคายังมียี่ห้อเดียว</t>
  </si>
  <si>
    <t>ศอก ราคา+5%</t>
  </si>
  <si>
    <t>B3</t>
  </si>
  <si>
    <t>รถขนส่ง (รถยนต์โดยสารแบบมีประตู 2 ด้าน +อุปกรณ์)</t>
  </si>
  <si>
    <t>B4</t>
  </si>
  <si>
    <t>รถขนส่ง (รถยนต์ SUV +อุปกรณ์)</t>
  </si>
  <si>
    <t>คำขอขาดรหัสสินทรัพย์เดิม</t>
  </si>
  <si>
    <t>B5</t>
  </si>
  <si>
    <t xml:space="preserve">ระบบตรวจใต้ท้องรถยนต์ (UVSS) </t>
  </si>
  <si>
    <t>ศปภ  ราคา+5%</t>
  </si>
  <si>
    <t>1800012085</t>
  </si>
  <si>
    <t>B6</t>
  </si>
  <si>
    <t>ศอก</t>
  </si>
  <si>
    <t>B7</t>
  </si>
  <si>
    <r>
      <t>ระบบกล้อง CCTV ติดรถยนต์ แบบ IP Camera System
(</t>
    </r>
    <r>
      <rPr>
        <sz val="8"/>
        <rFont val="Arial"/>
        <family val="2"/>
      </rPr>
      <t>กล้องหน้ารถขนส่ง)</t>
    </r>
  </si>
  <si>
    <t>ฝจอ</t>
  </si>
  <si>
    <t>B8</t>
  </si>
  <si>
    <t>ระบบกล้อง CCTV ชนิด Fixed (แบบ box)</t>
  </si>
  <si>
    <t>ระบบกล้อง CCTV ชนิด Fixed (แบบ Dome)</t>
  </si>
  <si>
    <t>ระบบกล้อง CCTV ชนิด Fixed (แบบ Fisheye)</t>
  </si>
  <si>
    <t>ระบบกล้อง CCTV ชนิด PTZ</t>
  </si>
  <si>
    <t>1800009017</t>
  </si>
  <si>
    <t>B9</t>
  </si>
  <si>
    <t>B10</t>
  </si>
  <si>
    <t>กล้อง Thermal  (จุดชาร์จ EV)</t>
  </si>
  <si>
    <t>B11</t>
  </si>
  <si>
    <t>กล้อง Thermal  (ที่จอดรถชั้น 1-4)</t>
  </si>
  <si>
    <t>ราคาไม่ตรง/คำขอขาดรหัสสินทรัพย์เดิม</t>
  </si>
  <si>
    <t>B12</t>
  </si>
  <si>
    <t>ระบบตรวจจับการบุกรุก (Beam Detector)</t>
  </si>
  <si>
    <t>คำขอ+5หมื่น/ซื้อใหม่</t>
  </si>
  <si>
    <t>B13</t>
  </si>
  <si>
    <t>เครื่อง X-Ray</t>
  </si>
  <si>
    <t>B14</t>
  </si>
  <si>
    <t>เครื่องอ่าน RFID</t>
  </si>
  <si>
    <t>ราคาไม่ตรง</t>
  </si>
  <si>
    <t>B15</t>
  </si>
  <si>
    <t xml:space="preserve">เครื่องอ่านบัตร (Card reader บัตรเข้า-ออกส่วนงาน) </t>
  </si>
  <si>
    <t>B16</t>
  </si>
  <si>
    <t>เครื่องอ่านบัตร (บัตรประชาชน)</t>
  </si>
  <si>
    <t>1800008011</t>
  </si>
  <si>
    <t>B17</t>
  </si>
  <si>
    <t>เครื่องถ่ายรูปบัตร B-Card</t>
  </si>
  <si>
    <t>ศปภ</t>
  </si>
  <si>
    <t>B18</t>
  </si>
  <si>
    <t>B19</t>
  </si>
  <si>
    <t>ปืนไฟฟ้า(Taser Gun) พร้อมชุดอุปกรณ์+กระสุนสำรอง</t>
  </si>
  <si>
    <t>1800007034</t>
  </si>
  <si>
    <t>B20</t>
  </si>
  <si>
    <t>ตู้นิรภัย (ฝากอาวุธปืน ประจำ สนญ.)</t>
  </si>
  <si>
    <t>B21</t>
  </si>
  <si>
    <t>เครื่องคอมพิวเตอร์ NoteBook</t>
  </si>
  <si>
    <t>1800011028</t>
  </si>
  <si>
    <t>B22</t>
  </si>
  <si>
    <t>เครื่องไมโครคอมพิวเตอร์</t>
  </si>
  <si>
    <t>ทำไมใช้ราคาแพง</t>
  </si>
  <si>
    <t>1800012060</t>
  </si>
  <si>
    <t>B23</t>
  </si>
  <si>
    <t>เครื่องอัดอากาศ  (ช่วยหายใจในการผจญเพลิง)</t>
  </si>
  <si>
    <t>ทดแทนของเดิมที่ สนญ. ที่มีอายุ 18 ปี</t>
  </si>
  <si>
    <t>เป็นวัสด หรือครุภัณฑ์</t>
  </si>
  <si>
    <t>B24</t>
  </si>
  <si>
    <t>ชุดช่วยหายใจ (SCBA)</t>
  </si>
  <si>
    <t>ทดแทนของเดิมที่ครบอายุการใช้งาน 20 ปี (ซื้อตามปี 50 ปี)</t>
  </si>
  <si>
    <t>B25</t>
  </si>
  <si>
    <r>
      <t xml:space="preserve">เก้าอี้อื่นๆ </t>
    </r>
    <r>
      <rPr>
        <sz val="8"/>
        <rFont val="Arial"/>
        <family val="2"/>
      </rPr>
      <t>(ประจำห้องควบคุม ยี่ห้อMerryfair รุ่น WAU2</t>
    </r>
    <r>
      <rPr>
        <b/>
        <sz val="8"/>
        <rFont val="Arial"/>
        <family val="2"/>
      </rPr>
      <t>)</t>
    </r>
  </si>
  <si>
    <t>spec พิเศษ ฝจอ.ให้ ฝรภ. จัดหา</t>
  </si>
  <si>
    <t>70ไม่ซื้อ</t>
  </si>
  <si>
    <t>1800011031</t>
  </si>
  <si>
    <t>B26</t>
  </si>
  <si>
    <t>จอคอมพิวเตอร์</t>
  </si>
  <si>
    <t>B27</t>
  </si>
  <si>
    <t>เสื้อเกราะกันกระสุน</t>
  </si>
  <si>
    <t>B28</t>
  </si>
  <si>
    <t xml:space="preserve">เครื่องขยายเสียง โทรโข่ง  - แบบสายสะพาย </t>
  </si>
  <si>
    <t>B29</t>
  </si>
  <si>
    <t xml:space="preserve">เครื่องขยายเสียง โทรโข่ง  - แบบคาดเอว </t>
  </si>
  <si>
    <t>B30</t>
  </si>
  <si>
    <t>ปลาดาว (sound station) - ลำโพงห้องประชุม ฝรภ.</t>
  </si>
  <si>
    <t>B31</t>
  </si>
  <si>
    <t>รถจักรยานยนต์</t>
  </si>
  <si>
    <t>B32</t>
  </si>
  <si>
    <t>เครื่องตรวจโลหะชนิดประตูเดินผ่าน (walk through)</t>
  </si>
  <si>
    <t>B33</t>
  </si>
  <si>
    <t>วิทยุสื่อสาร (walkie Talkie / วอดำ)</t>
  </si>
  <si>
    <t>B34</t>
  </si>
  <si>
    <t>เครื่องควบคุมการผ่านเข้า-ออก รถยนต์  (ไม้กั้น)</t>
  </si>
  <si>
    <t>B35</t>
  </si>
  <si>
    <t>เครื่องควบคุมการเปิด-ปิด (Access Control System)</t>
  </si>
  <si>
    <t>B36</t>
  </si>
  <si>
    <t>B37</t>
  </si>
  <si>
    <t xml:space="preserve">รวมงบประมาณรายจ่ายทั้งสิ้น (หมวด 1 + หมวด 2) </t>
  </si>
  <si>
    <t>หมายเหตุ</t>
  </si>
  <si>
    <t>กล้อง CCTV ชนิด Fixed (แบบ Bullet)</t>
  </si>
  <si>
    <t>รายละเอียดผลการพิจารณางบประมาณรายจ่ายงานประจำและแผนงานประจำปี 2569</t>
  </si>
  <si>
    <t>F103800: ฝ่ายรักษาความปลอดภัย</t>
  </si>
  <si>
    <t>ณ วันที่ 31 ก.ค. 69</t>
  </si>
  <si>
    <t xml:space="preserve">รหัสต้นทุนศูนย์ : </t>
  </si>
  <si>
    <t xml:space="preserve"> -ศปภ. 103801 (เดิม 48004)
</t>
  </si>
  <si>
    <t xml:space="preserve">  -ศูนย์อื่น 103800 (เดิม 48001, 48011)</t>
  </si>
  <si>
    <t xml:space="preserve"> ณ 31 ก.ค. 69</t>
  </si>
  <si>
    <t>หน่วยงานที่ขอตั้งงบประมาณ: 103800: ฝ.รักษาความปลอดภัย, 103801: ฝรภ.ศูนย์ปฏิบัติการรักษาความปลอดภัย</t>
  </si>
  <si>
    <t>เวอร์ชัน : ผ่านการพิจารณาจาก กกธ.</t>
  </si>
  <si>
    <t>กลุ่มงบประมาณ</t>
  </si>
  <si>
    <r>
      <t xml:space="preserve">รหัสงบฯ (CI)
</t>
    </r>
    <r>
      <rPr>
        <b/>
        <sz val="14"/>
        <rFont val="TH Sarabun New"/>
        <family val="2"/>
      </rPr>
      <t>New ERP</t>
    </r>
  </si>
  <si>
    <t>ผู้จัดซื้อ</t>
  </si>
  <si>
    <t>งบปี 69 ที่มี</t>
  </si>
  <si>
    <r>
      <t xml:space="preserve">งบใช้แล้ว </t>
    </r>
    <r>
      <rPr>
        <b/>
        <sz val="12"/>
        <color rgb="FFFF0000"/>
        <rFont val="TH Sarabun New"/>
        <family val="2"/>
      </rPr>
      <t>(PR+PO+กันงบ+ตัดจ่าย)</t>
    </r>
  </si>
  <si>
    <t>งบคงเหลือ</t>
  </si>
  <si>
    <t>link
ที่มางบ</t>
  </si>
  <si>
    <t>(superior CI)</t>
  </si>
  <si>
    <t>ยกงบปี 68 มา
(งบเหลื่อมปี)</t>
  </si>
  <si>
    <r>
      <t xml:space="preserve">งบปี 69
</t>
    </r>
    <r>
      <rPr>
        <b/>
        <sz val="12"/>
        <color rgb="FFFF0000"/>
        <rFont val="TH Sarabun New"/>
        <family val="2"/>
      </rPr>
      <t>+/-จัดสรรระหว่างปี</t>
    </r>
  </si>
  <si>
    <t>รวม</t>
  </si>
  <si>
    <t xml:space="preserve">งบปี 68 </t>
  </si>
  <si>
    <t>% ใช้</t>
  </si>
  <si>
    <t>งบปี 69</t>
  </si>
  <si>
    <t>งบปี 68</t>
  </si>
  <si>
    <t>% เหลือ</t>
  </si>
  <si>
    <t>/กลุ่มครุภัณฑ์</t>
  </si>
  <si>
    <t>รวมงบประมาณรายจ่าย</t>
  </si>
  <si>
    <t>5020102000</t>
  </si>
  <si>
    <t>ค่าล่วงเวลาและค่าตอบแทนการทำงานเกินเวลา</t>
  </si>
  <si>
    <t xml:space="preserve">ฝรภ.ปฏิบัติงานแทน OS ที่หยุดงานและเกิดเหตุไม่ปกติ </t>
  </si>
  <si>
    <t>A3</t>
  </si>
  <si>
    <r>
      <t xml:space="preserve">จ่ายไป 2 ครั้ง เป็น OT เดือน มี.ค. - มิ.ย. 69 
(ตัดจ่าย ต้นปี-พ.ค.= 217,045.58 / </t>
    </r>
    <r>
      <rPr>
        <b/>
        <sz val="12"/>
        <color rgb="FF0070C0"/>
        <rFont val="TH Sarabun New"/>
        <family val="2"/>
      </rPr>
      <t>มิ.ย. = 46,713.63</t>
    </r>
    <r>
      <rPr>
        <sz val="12"/>
        <rFont val="TH Sarabun New"/>
        <family val="2"/>
      </rPr>
      <t xml:space="preserve">)
</t>
    </r>
    <r>
      <rPr>
        <b/>
        <sz val="12"/>
        <color rgb="FFC00000"/>
        <rFont val="TH Sarabun New"/>
        <family val="2"/>
      </rPr>
      <t xml:space="preserve">ต้องถัวจ่ายมาเพิ่ม </t>
    </r>
    <r>
      <rPr>
        <b/>
        <strike/>
        <sz val="12"/>
        <color theme="7" tint="-0.249977111117893"/>
        <rFont val="TH Sarabun New"/>
        <family val="2"/>
      </rPr>
      <t>500,000</t>
    </r>
    <r>
      <rPr>
        <b/>
        <sz val="12"/>
        <color rgb="FF0070C0"/>
        <rFont val="TH Sarabun New"/>
        <family val="2"/>
      </rPr>
      <t xml:space="preserve"> 300,000.-</t>
    </r>
    <r>
      <rPr>
        <b/>
        <sz val="12"/>
        <color rgb="FFC00000"/>
        <rFont val="TH Sarabun New"/>
        <family val="2"/>
      </rPr>
      <t xml:space="preserve"> จากงบ UVSS เพิ่อใช้ถึงสิ้นปี</t>
    </r>
  </si>
  <si>
    <t>เฉลี่ยนเดือนละ</t>
  </si>
  <si>
    <t>5 เดือน</t>
  </si>
  <si>
    <t>ไม่พอ</t>
  </si>
  <si>
    <t>ให้น้องชินส่งให้ติ๋ว</t>
  </si>
  <si>
    <t>5020104000</t>
  </si>
  <si>
    <t>เงินช่วยเหลือพิเศษ</t>
  </si>
  <si>
    <t>ค่าช่วยเหลือสำหรับการเข้าเวร ซึ่งนอกเวลาปกติ/ วันหยุด</t>
  </si>
  <si>
    <t>A1</t>
  </si>
  <si>
    <r>
      <t xml:space="preserve">1.จ่ายไปแล้ว </t>
    </r>
    <r>
      <rPr>
        <b/>
        <sz val="12"/>
        <color rgb="FF0070C0"/>
        <rFont val="TH Sarabun New"/>
        <family val="2"/>
      </rPr>
      <t>6</t>
    </r>
    <r>
      <rPr>
        <sz val="12"/>
        <rFont val="TH Sarabun New"/>
        <family val="2"/>
      </rPr>
      <t xml:space="preserve"> เดือน </t>
    </r>
    <r>
      <rPr>
        <strike/>
        <sz val="12"/>
        <color theme="7" tint="-0.499984740745262"/>
        <rFont val="TH Sarabun New"/>
        <family val="2"/>
      </rPr>
      <t xml:space="preserve">เฉลี่ยจ่ายเดือนละ </t>
    </r>
    <r>
      <rPr>
        <b/>
        <strike/>
        <sz val="12"/>
        <color theme="7" tint="-0.499984740745262"/>
        <rFont val="TH Sarabun New"/>
        <family val="2"/>
      </rPr>
      <t>510,480.</t>
    </r>
    <r>
      <rPr>
        <strike/>
        <sz val="12"/>
        <color theme="7" tint="-0.499984740745262"/>
        <rFont val="TH Sarabun New"/>
        <family val="2"/>
      </rPr>
      <t>-</t>
    </r>
    <r>
      <rPr>
        <sz val="12"/>
        <rFont val="TH Sarabun New"/>
        <family val="2"/>
      </rPr>
      <t xml:space="preserve"> </t>
    </r>
    <r>
      <rPr>
        <b/>
        <sz val="12"/>
        <color rgb="FF0070C0"/>
        <rFont val="TH Sarabun New"/>
        <family val="2"/>
      </rPr>
      <t>ล่าสุดจ่าย มิ.ย. =469,100.-</t>
    </r>
    <r>
      <rPr>
        <sz val="12"/>
        <rFont val="TH Sarabun New"/>
        <family val="2"/>
      </rPr>
      <t xml:space="preserve">
2.คงเหลืออีก 7 เดือน </t>
    </r>
    <r>
      <rPr>
        <b/>
        <sz val="12"/>
        <color rgb="FFC00000"/>
        <rFont val="TH Sarabun New"/>
        <family val="2"/>
      </rPr>
      <t>ต้องถัวจ่ายเพิ่ม 400,000 บาท</t>
    </r>
    <r>
      <rPr>
        <sz val="12"/>
        <rFont val="TH Sarabun New"/>
        <family val="2"/>
      </rPr>
      <t xml:space="preserve"> </t>
    </r>
    <r>
      <rPr>
        <b/>
        <sz val="12"/>
        <color rgb="FFC00000"/>
        <rFont val="TH Sarabun New"/>
        <family val="2"/>
      </rPr>
      <t>จากงบ UVSS เพิ่อใช้ถึงสิ้นปี</t>
    </r>
  </si>
  <si>
    <t>ธค จ่าย มค</t>
  </si>
  <si>
    <t>หลักการ
อัตรา 103
คนจริง 100</t>
  </si>
  <si>
    <t>ใช้สถิติปี 69</t>
  </si>
  <si>
    <t>30106</t>
  </si>
  <si>
    <t>5020305000</t>
  </si>
  <si>
    <t>เงินช่วยเหลืออื่น ๆ</t>
  </si>
  <si>
    <t>รวมค่าใช้จ่าย 3 ส่วน: 1.ค่าจัดซื้อของเหมาจ่าย (ให้ครั้งเดียวเมื่อย้าย)   2.บ้านพัก/ค่าเช่าบ้าน @ 8,000/เดือน   3.เงินช่วยเหลือพิเศษ @ 5,500/เดือน</t>
  </si>
  <si>
    <r>
      <t xml:space="preserve">คงเหลืออีก </t>
    </r>
    <r>
      <rPr>
        <b/>
        <sz val="12"/>
        <color rgb="FF0070C0"/>
        <rFont val="TH Sarabun New"/>
        <family val="2"/>
      </rPr>
      <t xml:space="preserve">6 </t>
    </r>
    <r>
      <rPr>
        <sz val="12"/>
        <rFont val="TH Sarabun New"/>
        <family val="2"/>
      </rPr>
      <t>เดือน เพียงพอใช้ ดังนี้
1. พนง. ต้องใช้เยี่ยมครอบครัวตามรอบอีก
2. รอบการย้าย พนง.ศปภ. จะอยู่ช่วงปลายปี</t>
    </r>
  </si>
  <si>
    <t>30107</t>
  </si>
  <si>
    <t>ค่าเสื้อผ้าและเครื่องแบบ</t>
  </si>
  <si>
    <t>แจก ชุดปฏิบัติการ และชุดพิธีการ ตามวงรอบระเบียบ</t>
  </si>
  <si>
    <t>วิทวัส</t>
  </si>
  <si>
    <r>
      <t>1.งบปี 68 เสร็จแล้ว : จัดหาเสื้อยืดคอปก ถุงเท้า 
2.</t>
    </r>
    <r>
      <rPr>
        <b/>
        <sz val="12"/>
        <color rgb="FF0070C0"/>
        <rFont val="TH Sarabun New"/>
        <family val="2"/>
      </rPr>
      <t>งบปี 69 ยังขาดหมวกหม้อตาล</t>
    </r>
    <r>
      <rPr>
        <sz val="12"/>
        <rFont val="TH Sarabun New"/>
        <family val="2"/>
      </rPr>
      <t xml:space="preserve"> 
   </t>
    </r>
    <r>
      <rPr>
        <sz val="12"/>
        <color rgb="FFC00000"/>
        <rFont val="TH Sarabun New"/>
        <family val="2"/>
      </rPr>
      <t>(ล่าสุด ก.ค. ทำป้ายชื่อ 3,000.-/ตัดชุดพิธีการ 9ชุด 24,075.-)</t>
    </r>
  </si>
  <si>
    <t>30108</t>
  </si>
  <si>
    <t>5020306000</t>
  </si>
  <si>
    <r>
      <t xml:space="preserve">คชจ.กิจกรรมส่งเสริมค่านิยมร่วมขององค์กร </t>
    </r>
    <r>
      <rPr>
        <b/>
        <sz val="12"/>
        <color indexed="30"/>
        <rFont val="TH Sarabun New"/>
        <family val="2"/>
      </rPr>
      <t>(งบ สคส.)</t>
    </r>
  </si>
  <si>
    <t>อัตรากำลัง @1,000.- ตามอัตราโครงสร้าง ฝรภ.</t>
  </si>
  <si>
    <r>
      <rPr>
        <b/>
        <sz val="12"/>
        <color rgb="FFC00000"/>
        <rFont val="TH Sarabun New"/>
        <family val="2"/>
      </rPr>
      <t>ควรมีการกระตุ้นใช้</t>
    </r>
    <r>
      <rPr>
        <sz val="12"/>
        <rFont val="TH Sarabun New"/>
        <family val="2"/>
      </rPr>
      <t xml:space="preserve">
</t>
    </r>
  </si>
  <si>
    <t>30109</t>
  </si>
  <si>
    <t>5020402000</t>
  </si>
  <si>
    <t>ค่าฝึกอบรมและพัฒนาพนักงานส่วนงาน</t>
  </si>
  <si>
    <t>ค่าใช้จ่ายเพื่อส่งเสริมศักยภาพพนักงาน</t>
  </si>
  <si>
    <t>A6</t>
  </si>
  <si>
    <t xml:space="preserve">ตามรอบส่วนใหญจัดอบรม H2/69 เช่น สัมมนาประจำปี
</t>
  </si>
  <si>
    <t>5031116000</t>
  </si>
  <si>
    <t>ค่าจ้างงานรักษาความปลอดภัย</t>
  </si>
  <si>
    <t>ค่าจ้างเหมาบริการจากบุคคลภายนอก (outsource)</t>
  </si>
  <si>
    <t>new</t>
  </si>
  <si>
    <r>
      <t>1.เพียงพอใช้ตามรอบ 
2.ยอดใช้งบปี 69 เป็นยอดจ่ายค่าจ้าง+OT จริงตามที่ตรวจรับแล้ว
3.</t>
    </r>
    <r>
      <rPr>
        <b/>
        <sz val="12"/>
        <color rgb="FF0070C0"/>
        <rFont val="TH Sarabun New"/>
        <family val="2"/>
      </rPr>
      <t>ปี 69 อาจจะมีงบเหลือ จาก ฝรภ. ทำงานแทน OS ช่วงบอกเลิกสัญญา สพฐ. + มีค่าปรับจาก กลุ่ม 3 (ส่งกรมธรรม์ช้า) และกลุ่ม 5 Secom (ส่ง OS ไม่ครบ) แต่ช่วงนี้ต้องเก็บไว้สำรองสำหรับการจัดหาสัญญาใหม่ทดแทนสัญญาบอกเลิก</t>
    </r>
  </si>
  <si>
    <t>30203</t>
  </si>
  <si>
    <t>ค่าจ้างแรงงานและทำของ</t>
  </si>
  <si>
    <t>ค่าจ้าง 3 รายการ : 1.ค่าซ่อมบัตร RFID   2.ค่าทดสอบเสื้อเกราะ  3.ค่าตรวจสอบเครื่องอัดอากาศช่วยหายใจในการดับเพลิง</t>
  </si>
  <si>
    <t>สุวิช</t>
  </si>
  <si>
    <t>B5-3</t>
  </si>
  <si>
    <r>
      <t xml:space="preserve">1.ดำเนินการแล้ว 1 รายการ (ซ่อมบัตร RFID)
</t>
    </r>
    <r>
      <rPr>
        <sz val="12"/>
        <color rgb="FF7030A0"/>
        <rFont val="TH Sarabun New"/>
        <family val="2"/>
      </rPr>
      <t>2.ยกเลิกการทดสอบถัง SCBA ตั้งงบประมาณซื้อใหม่ปี 2570</t>
    </r>
  </si>
  <si>
    <t>มิย.69</t>
  </si>
  <si>
    <t>5031143000</t>
  </si>
  <si>
    <t>ค่าตอบแทนบุคคลภายนอกอื่น ๆ</t>
  </si>
  <si>
    <t xml:space="preserve">ตร. ช่วยรักษาการณ์ ศปภ. </t>
  </si>
  <si>
    <r>
      <t>1.คงเหลือเพียงพอใช้</t>
    </r>
    <r>
      <rPr>
        <sz val="12"/>
        <color rgb="FF0070C0"/>
        <rFont val="TH Sarabun New"/>
        <family val="2"/>
      </rPr>
      <t xml:space="preserve">
</t>
    </r>
    <r>
      <rPr>
        <b/>
        <sz val="12"/>
        <color rgb="FF00B050"/>
        <rFont val="TH Sarabun New"/>
        <family val="2"/>
      </rPr>
      <t>2.งบน่าจะเหลือ 600,000 บาท</t>
    </r>
    <r>
      <rPr>
        <sz val="12"/>
        <rFont val="TH Sarabun New"/>
        <family val="2"/>
      </rPr>
      <t xml:space="preserve"> </t>
    </r>
    <r>
      <rPr>
        <sz val="12"/>
        <color rgb="FFFF0000"/>
        <rFont val="TH Sarabun New"/>
        <family val="2"/>
      </rPr>
      <t>เก็บไว้ใช้ Ad-Hoc</t>
    </r>
  </si>
  <si>
    <t>30205</t>
  </si>
  <si>
    <r>
      <t xml:space="preserve">ค่าซ่อมแซมบำรุงฯ-อุปกรณ์,ระบบคอมพิวเตอร์ 
</t>
    </r>
    <r>
      <rPr>
        <b/>
        <sz val="12"/>
        <color rgb="FFFF0000"/>
        <rFont val="TH Sarabun New"/>
        <family val="2"/>
      </rPr>
      <t>งานค้าง : กระจายงบผูกพัน</t>
    </r>
  </si>
  <si>
    <t>แบ่งเป็น 3 ส่วน ดังนี้</t>
  </si>
  <si>
    <t>ยอดใช้ 3 MA ไม่รวม PO เนื่องจาก ฝจอ.ตั้งล่วงหน้าตามสัญญาทั้งปี</t>
  </si>
  <si>
    <t xml:space="preserve">1. ค่าซ่อมบำรุง CCTV
</t>
  </si>
  <si>
    <r>
      <t xml:space="preserve">1. ทั้ง 2 สัญญาจ่ายปีละ 2 ครั้ง และจ่ายพร้อมกัน
 </t>
    </r>
    <r>
      <rPr>
        <sz val="12"/>
        <rFont val="TH Sarabun New"/>
        <family val="2"/>
      </rPr>
      <t xml:space="preserve">  -ครั้งที่ 1 ครบ 31 มี.ค. 69  รับมอบงานแล้ว เม.ย. 69</t>
    </r>
    <r>
      <rPr>
        <sz val="12"/>
        <color theme="1"/>
        <rFont val="TH Sarabun New"/>
        <family val="2"/>
      </rPr>
      <t xml:space="preserve">
</t>
    </r>
    <r>
      <rPr>
        <b/>
        <sz val="12"/>
        <color rgb="FF0070C0"/>
        <rFont val="TH Sarabun New"/>
        <family val="2"/>
      </rPr>
      <t xml:space="preserve">   -ครั้งที่ 2 ครบ 30 ก.ย. 69 กันเงิน PO จ่าย ต.ค. แล้ว
</t>
    </r>
    <r>
      <rPr>
        <sz val="12"/>
        <color rgb="FF7030A0"/>
        <rFont val="TH Sarabun New"/>
        <family val="2"/>
      </rPr>
      <t>2. สัญญาบำรุง CCTV ต้องตั้งงบปี 70 โดย ฝรภ. และ สำนักงานภาคแยกกันตั้งงบแบ่งเป็น 3  PR แต่รวมกันจ้าง PO เดียว โดย ฝจอ.ให้ตัวเลข</t>
    </r>
    <r>
      <rPr>
        <sz val="12"/>
        <color rgb="FFC00000"/>
        <rFont val="TH Sarabun New"/>
        <family val="2"/>
      </rPr>
      <t xml:space="preserve">
3. สัญญาบำรุง Visitor ต้องตั้งงบปี 70 ฝรภ.ดำเนินการ</t>
    </r>
  </si>
  <si>
    <t>PO ค่าซ่อม 3 รายการ</t>
  </si>
  <si>
    <t>สิ้นสุดสัญญา มีค 70</t>
  </si>
  <si>
    <t>2. จ้างบริการบำรุงรักษาอุปกรณ์ Visitor Management (เครื่องอ่านบัตรประชาชน, เครื่องอ่าน Passport, เครื่องถ่ายรูปบัตร)</t>
  </si>
  <si>
    <t>สุวิช เดิมวิทวัส</t>
  </si>
  <si>
    <r>
      <t>3. จ้างบำรุงรักษาเครื่องพิมพ์บัตร Access Card ยี่ห้อ Datacard (สัญญาปัจจุบันหมด 2 มี.ค. 69)</t>
    </r>
    <r>
      <rPr>
        <b/>
        <sz val="12"/>
        <color theme="1"/>
        <rFont val="TH Sarabun New"/>
        <family val="2"/>
      </rPr>
      <t xml:space="preserve"> &gt;&gt; ปี 69 ตั้งงบฯ ซื้อเครื่องใหม่ </t>
    </r>
  </si>
  <si>
    <r>
      <rPr>
        <sz val="12"/>
        <color rgb="FF0070C0"/>
        <rFont val="TH Sarabun New"/>
        <family val="2"/>
      </rPr>
      <t>1.</t>
    </r>
    <r>
      <rPr>
        <b/>
        <sz val="12"/>
        <color rgb="FF0070C0"/>
        <rFont val="TH Sarabun New"/>
        <family val="2"/>
      </rPr>
      <t>สัญญาเก่า : ครบ 31 ส.ค. 69 กันเงิน PO จ่าย ก.ย. =22,363แล้ว</t>
    </r>
    <r>
      <rPr>
        <sz val="12"/>
        <rFont val="TH Sarabun New"/>
        <family val="2"/>
      </rPr>
      <t xml:space="preserve">
2.</t>
    </r>
    <r>
      <rPr>
        <b/>
        <sz val="12"/>
        <color rgb="FFC00000"/>
        <rFont val="TH Sarabun New"/>
        <family val="2"/>
      </rPr>
      <t xml:space="preserve">สัญญาใหม่ </t>
    </r>
    <r>
      <rPr>
        <sz val="12"/>
        <color rgb="FFC00000"/>
        <rFont val="TH Sarabun New"/>
        <family val="2"/>
      </rPr>
      <t>: ยังไม่ได้เปิด PR สัญญางวดปลายปี</t>
    </r>
    <r>
      <rPr>
        <sz val="12"/>
        <rFont val="TH Sarabun New"/>
        <family val="2"/>
      </rPr>
      <t xml:space="preserve"> </t>
    </r>
    <r>
      <rPr>
        <sz val="12"/>
        <color rgb="FFC00000"/>
        <rFont val="TH Sarabun New"/>
        <family val="2"/>
      </rPr>
      <t>/ ฝรภ.ดำเนินการ</t>
    </r>
  </si>
  <si>
    <t>อุทัย</t>
  </si>
  <si>
    <t>30206</t>
  </si>
  <si>
    <t>5031219000</t>
  </si>
  <si>
    <r>
      <t xml:space="preserve">ค่าวัสดุทั่วไป </t>
    </r>
    <r>
      <rPr>
        <b/>
        <sz val="12"/>
        <color indexed="30"/>
        <rFont val="TH Sarabun New"/>
        <family val="2"/>
      </rPr>
      <t>(ผลอนุมัติ : งบวัสดุอื่นย้ายกลับมารวมวัสดุทั่วไป)</t>
    </r>
    <r>
      <rPr>
        <b/>
        <sz val="12"/>
        <rFont val="TH Sarabun New"/>
        <family val="2"/>
      </rPr>
      <t xml:space="preserve">
</t>
    </r>
    <r>
      <rPr>
        <b/>
        <sz val="12"/>
        <color rgb="FFFF0000"/>
        <rFont val="TH Sarabun New"/>
        <family val="2"/>
      </rPr>
      <t>ต้องเช็คจ่ายเพิ่ม หมื่น+บาท</t>
    </r>
  </si>
  <si>
    <t xml:space="preserve">จัดหา 2 ส่วน: 1.วัสดุในงานห้องบัตรและวัสดุส่วนกลาง   2.วัสดุเกี่ยวกับถังดับเพลิง และอาวุธปืน (อุปกรณ์ทำความสะอาด ซองปืน ฯลฯ) </t>
  </si>
  <si>
    <t>วิทวัส(ห้องบัตร)
ฐิติรัฐ(อื่นๆ)</t>
  </si>
  <si>
    <t>1.วัสดุห้องบัตร ยังไม่จัดหา 2 รายการ (บัตรพาสติก /คลิปหนีบบัตร)</t>
  </si>
  <si>
    <t>2. วัสดุงาน รปภ. ยังไม่จัดหาเหลือถังดับเพลิง รอซื้อช่วงลดราคา ส.ค. 69</t>
  </si>
  <si>
    <t>30207</t>
  </si>
  <si>
    <t>5031138000</t>
  </si>
  <si>
    <t>ค่าใช้จ่ายในการจัดงานและพิธีต่าง ๆ</t>
  </si>
  <si>
    <r>
      <t xml:space="preserve">ปีนี้จัดงาน สภน. ให้ใช้งบดังนี้
1.งบนี้ให้เบิกเฉพาะ ค่าใช้จ่ายเกี่ยวกับการจัดงาน 
</t>
    </r>
    <r>
      <rPr>
        <sz val="12"/>
        <color rgb="FF7030A0"/>
        <rFont val="TH Sarabun New"/>
        <family val="2"/>
      </rPr>
      <t>2.ค่าเดินทาง ให้เบิกงบค่าใช้จ่ายเดินทาง (Row 28)</t>
    </r>
  </si>
  <si>
    <t>30208</t>
  </si>
  <si>
    <t>5031144000</t>
  </si>
  <si>
    <t>ค่ารับรอง</t>
  </si>
  <si>
    <t>ค่ารับรองของ ผอ. /ค่ารับรองของ ศปภ. 5 แห่ง</t>
  </si>
  <si>
    <t>พอใช้จ่าย</t>
  </si>
  <si>
    <t>30209</t>
  </si>
  <si>
    <t>5031134000</t>
  </si>
  <si>
    <t>ค่าใช้จ่ายเดินทาง</t>
  </si>
  <si>
    <t>ค่าเบี้ยเลี้ยง ที่พัก และพาหนะเดินทาง มี 4 ส่วน: 1.ศปภ.เยี่ยมครอบครัว   2. ผู้บริหาร ศปก. / ศอก. เดินทางไปภูมิภาค /หชป.เวียนงาน   3.ศปภ.โยกย้าย   4.งาน ศปส.</t>
  </si>
  <si>
    <r>
      <rPr>
        <b/>
        <sz val="12"/>
        <color rgb="FF0070C0"/>
        <rFont val="TH Sarabun New"/>
        <family val="2"/>
      </rPr>
      <t>กระจุกตัวใช้จ่ายช่วง H2 ดังนี้</t>
    </r>
    <r>
      <rPr>
        <sz val="12"/>
        <rFont val="TH Sarabun New"/>
        <family val="2"/>
      </rPr>
      <t xml:space="preserve">
1. รอบการย้าย พนง.ศปภ. จะอยู่ช่วง ต.ค. / ธ.ค. 69
2. มีการอบรม ศสป. ที่ สภน.
3. ศอก. ยังไม่ได้ออกตรวจ สนภ.
</t>
    </r>
    <r>
      <rPr>
        <sz val="12"/>
        <color rgb="FF7030A0"/>
        <rFont val="TH Sarabun New"/>
        <family val="2"/>
      </rPr>
      <t>4. ผู้บริหารเดินสายสื่อสารรอบครึ่งปีหลังเพิ่มเติม</t>
    </r>
  </si>
  <si>
    <t>30211</t>
  </si>
  <si>
    <t>5031107000</t>
  </si>
  <si>
    <t>ค่าธรรมเนียมอื่น ๆ</t>
  </si>
  <si>
    <t xml:space="preserve">ค่าใช้จ่าย 5 รายการ: 1.ค่าความถี่และค่าต่ออายุวิทยุสื่อสาร    2.ใบอนุญาตยุทธภัณฑ์    3. ค่าตรวจรังสี พนง.รปภ. 7 เครื่อง+14 คน  4.ค่าจัดสรรคลื่นความถี่วิทยุ  5.ใบอนุญาตครอบครองเครื่องกำเนิดรังสี </t>
  </si>
  <si>
    <t>1.ดำเนินการแล้ว 3 รายการ 
  (ค่าใช้ความถี่วิทยุคลื่น168.85 รายปี /ค่าที่จอดรถถูกยกเลิกให้จอด/ตรวจรังสีคน เม.ย.69)
2,.คงเหลือ 1 รายการ : ใบอนุญาต ยภ.5 หมด พ.ย. 69 รอจ่าย ธ.ค..69 
  (ค่าธรรมเนียบยุทธภัณฑ์)</t>
  </si>
  <si>
    <t>30217</t>
  </si>
  <si>
    <t>ค่าใช้จ่ายในการสืบสวนงานรักษาความปลอดภัย</t>
  </si>
  <si>
    <r>
      <t xml:space="preserve">1.เงินสดในมือ ยกมาปี 68 = 24.54 บาท  +เบิกปี 69 = 60,000 บาท 
                 รวมเงินสด     = 60,024.54 บาท 
</t>
    </r>
    <r>
      <rPr>
        <b/>
        <sz val="12"/>
        <color rgb="FF0070C0"/>
        <rFont val="TH Sarabun New"/>
        <family val="2"/>
      </rPr>
      <t>2.ใช้จ่ายไปแล้ว             = 58,489.16 บาท 
3.คงเหลือเงินสดในมือ   = 1,526.18.-</t>
    </r>
    <r>
      <rPr>
        <b/>
        <sz val="12"/>
        <color rgb="FFC00000"/>
        <rFont val="TH Sarabun New"/>
        <family val="2"/>
      </rPr>
      <t xml:space="preserve"> กำลังกันงบเพิ่มให้อีก 20,000.-</t>
    </r>
  </si>
  <si>
    <t>5031218000</t>
  </si>
  <si>
    <t xml:space="preserve">ค่าวัสดุคอมพิวเตอร์ </t>
  </si>
  <si>
    <t>จัดหา 3 รายการ 1.บัตร Mifare  2.RFID  3.Access Card (บัตรพนักงาน)</t>
  </si>
  <si>
    <r>
      <t>1.โอนงบให้ ฝทส.</t>
    </r>
    <r>
      <rPr>
        <sz val="12"/>
        <color indexed="60"/>
        <rFont val="TH Sarabun New"/>
        <family val="2"/>
      </rPr>
      <t xml:space="preserve"> </t>
    </r>
    <r>
      <rPr>
        <sz val="12"/>
        <rFont val="TH Sarabun New"/>
        <family val="2"/>
      </rPr>
      <t>(ฝรภ.จัดซื้อ แต่อนุมัติโดย ฝทส.)
2..-ดำเนินการแล้ว 1 รายการ (บัตร Mifare)
  -.คงเหลือ 2 รายการ (ขอยังเหลือ : บัตร RFID /บัตร Access) รอของหมด หรือ ซื้อ stock ปลายปี</t>
    </r>
  </si>
  <si>
    <t>5031118000</t>
  </si>
  <si>
    <t>ค่าสิทธิการใช้โปรแกรมส่วนงาน</t>
  </si>
  <si>
    <t>ใช้โปรแกรม Canva Pro 3 license</t>
  </si>
  <si>
    <t>วัชระ</t>
  </si>
  <si>
    <r>
      <rPr>
        <b/>
        <sz val="12"/>
        <color rgb="FF00B050"/>
        <rFont val="TH Sarabun New"/>
        <family val="2"/>
      </rPr>
      <t>เสร็จแล้ว</t>
    </r>
    <r>
      <rPr>
        <sz val="12"/>
        <color rgb="FF00B050"/>
        <rFont val="TH Sarabun New"/>
        <family val="2"/>
      </rPr>
      <t xml:space="preserve"> </t>
    </r>
    <r>
      <rPr>
        <sz val="12"/>
        <rFont val="TH Sarabun New"/>
        <family val="2"/>
      </rPr>
      <t>ชำระเงินและใช้ได้แล้ว ตั้งแต่ เม.ย. 69 (3 licence)</t>
    </r>
  </si>
  <si>
    <t>5031133000</t>
  </si>
  <si>
    <t>ค่าสิทธิการใช้โปรแกรมส่วนกลาง</t>
  </si>
  <si>
    <r>
      <t xml:space="preserve">วิทวัส </t>
    </r>
    <r>
      <rPr>
        <b/>
        <sz val="8"/>
        <color rgb="FF0070C0"/>
        <rFont val="TH Sarabun New"/>
        <family val="2"/>
      </rPr>
      <t>(ฝทส.จัดหาแทน)</t>
    </r>
  </si>
  <si>
    <r>
      <rPr>
        <b/>
        <sz val="12"/>
        <color rgb="FF00B050"/>
        <rFont val="TH Sarabun New"/>
        <family val="2"/>
      </rPr>
      <t xml:space="preserve">เสร็จแล้ว </t>
    </r>
    <r>
      <rPr>
        <sz val="12"/>
        <rFont val="TH Sarabun New"/>
        <family val="2"/>
      </rPr>
      <t>1. โอนงบไป ฝทส. จัดซื้อให้ทั้ง ธปท.
              2. ปัจจุบันผู้ใช้ชื่อ k.สุวิช แต่ k.วิทวัท ใช้</t>
    </r>
  </si>
  <si>
    <t>ค่าเช่าเครื่องถ่ายเอกสาร</t>
  </si>
  <si>
    <t>ปี 69 เจ้าของงบคือ ฝจอ.</t>
  </si>
  <si>
    <r>
      <rPr>
        <b/>
        <sz val="12"/>
        <color rgb="FF00B050"/>
        <rFont val="TH Sarabun New"/>
        <family val="2"/>
      </rPr>
      <t xml:space="preserve">เสร็จแล้ว </t>
    </r>
    <r>
      <rPr>
        <sz val="12"/>
        <color theme="1"/>
        <rFont val="TH Sarabun New"/>
        <family val="2"/>
      </rPr>
      <t>: งบปี 68 ที่เหลือต้องคืนธนาคาร /ฝจอ.ตั้งงบปี 69 เป็นต้นไป</t>
    </r>
  </si>
  <si>
    <t>หมวด 80 : งบสินทรัพย์ถาวร</t>
  </si>
  <si>
    <t>ชื่อครุภัณฑ์</t>
  </si>
  <si>
    <t>จำนวน (ธนาคารอนุมัติ)</t>
  </si>
  <si>
    <t>ทีมที่ขอตั้งงบ</t>
  </si>
  <si>
    <t>ยังไม่เปิด PR</t>
  </si>
  <si>
    <t xml:space="preserve">หมวด 11
</t>
  </si>
  <si>
    <t>ศอก.</t>
  </si>
  <si>
    <r>
      <t xml:space="preserve">เสกสรร 
</t>
    </r>
    <r>
      <rPr>
        <b/>
        <sz val="8"/>
        <color rgb="FF0070C0"/>
        <rFont val="TH Sarabun New"/>
        <family val="2"/>
      </rPr>
      <t>(ฝทส.จัดหาแทน)</t>
    </r>
  </si>
  <si>
    <r>
      <t xml:space="preserve">1.โอนงบไป ฝทส. จัดซื้อให้ทั้ง ธปท.
2.คาดว่าจะได้ PC </t>
    </r>
    <r>
      <rPr>
        <b/>
        <sz val="12"/>
        <color rgb="FF0070C0"/>
        <rFont val="TH Sarabun New"/>
        <family val="2"/>
      </rPr>
      <t>Q4</t>
    </r>
  </si>
  <si>
    <t>เสกสรร</t>
  </si>
  <si>
    <r>
      <t xml:space="preserve">1.รอง ผอ. อนุมัติ PR แล้ว เมื่อ 2 เม.ย. 69
</t>
    </r>
    <r>
      <rPr>
        <sz val="12"/>
        <rFont val="TH Sarabun New"/>
        <family val="2"/>
      </rPr>
      <t>2.คาดว่าจะได้ PC</t>
    </r>
    <r>
      <rPr>
        <sz val="12"/>
        <color theme="7" tint="-0.499984740745262"/>
        <rFont val="TH Sarabun New"/>
        <family val="2"/>
      </rPr>
      <t xml:space="preserve"> </t>
    </r>
    <r>
      <rPr>
        <b/>
        <sz val="12"/>
        <color rgb="FF0070C0"/>
        <rFont val="TH Sarabun New"/>
        <family val="2"/>
      </rPr>
      <t>Q4</t>
    </r>
    <r>
      <rPr>
        <sz val="12"/>
        <color theme="1"/>
        <rFont val="TH Sarabun New"/>
        <family val="2"/>
      </rPr>
      <t xml:space="preserve">
</t>
    </r>
    <r>
      <rPr>
        <b/>
        <sz val="12"/>
        <color rgb="FF0070C0"/>
        <rFont val="TH Sarabun New"/>
        <family val="2"/>
      </rPr>
      <t>3.EPR ใหม่ งบจออยู่ที่ส่วนงาน (PC NB ฝทส.จัดหา)</t>
    </r>
  </si>
  <si>
    <t>หมวด 16</t>
  </si>
  <si>
    <t>1800016008</t>
  </si>
  <si>
    <t>ศปภ.</t>
  </si>
  <si>
    <t>ธนกฤต</t>
  </si>
  <si>
    <r>
      <t>1.กำลังทำ</t>
    </r>
    <r>
      <rPr>
        <b/>
        <sz val="12"/>
        <color theme="7" tint="-0.499984740745262"/>
        <rFont val="TH Sarabun New"/>
        <family val="2"/>
      </rPr>
      <t xml:space="preserve"> </t>
    </r>
    <r>
      <rPr>
        <b/>
        <sz val="12"/>
        <color rgb="FF0070C0"/>
        <rFont val="TH Sarabun New"/>
        <family val="2"/>
      </rPr>
      <t>PR</t>
    </r>
    <r>
      <rPr>
        <sz val="12"/>
        <rFont val="TH Sarabun New"/>
        <family val="2"/>
      </rPr>
      <t xml:space="preserve">
2.คาดว่าเซ็นสัญญา เดือน ก.ย. 69
3.มีบริษัทน้อย จึงใช้วิธีคัดเลือก</t>
    </r>
  </si>
  <si>
    <t xml:space="preserve">หมวด 14
</t>
  </si>
  <si>
    <t>1800014020</t>
  </si>
  <si>
    <t>เครื่องขยายเสียง โทรโข่ง (Megaphone)</t>
  </si>
  <si>
    <t>4
(แบบสายสะพาย 3 / แบบคาดเอว 1)</t>
  </si>
  <si>
    <t>ทญศ.</t>
  </si>
  <si>
    <t xml:space="preserve">เสกสรร </t>
  </si>
  <si>
    <t>1.ได้แบบมาพร้อมราคา ทั้งสองอย่าง 
2.รอหารือและเลือกแบบที่ต้องการ
3.คาดว่าได้ของ ปลายเดือน มิ.ย.- ต้น ก.ค. 69</t>
  </si>
  <si>
    <t>1800014095</t>
  </si>
  <si>
    <t>ปลาดาว (sound station)</t>
  </si>
  <si>
    <t>ประจำฝ่าย (ห้องประชุม 113)</t>
  </si>
  <si>
    <t>อยู่ระหว่างขอใบเสนอราคา 3 ราย 
เพื่อส่งให้ ฝทส.จัดหา</t>
  </si>
  <si>
    <t>หมวด 25</t>
  </si>
  <si>
    <t>1800025016</t>
  </si>
  <si>
    <t>ฐิติรัฐ</t>
  </si>
  <si>
    <r>
      <t>1.</t>
    </r>
    <r>
      <rPr>
        <b/>
        <sz val="12"/>
        <color rgb="FF0070C0"/>
        <rFont val="TH Sarabun New"/>
        <family val="2"/>
      </rPr>
      <t xml:space="preserve">รอง ผอ.อนุมัติ </t>
    </r>
    <r>
      <rPr>
        <sz val="12"/>
        <color theme="1"/>
        <rFont val="TH Sarabun New"/>
        <family val="2"/>
      </rPr>
      <t>PR แล้ว เมื่อ 6 มิ.ย. 69
2.คาดว่าได้รับของ ปลายเดือน มิ.ย.</t>
    </r>
  </si>
  <si>
    <t>หมวด 9</t>
  </si>
  <si>
    <t>1800009004</t>
  </si>
  <si>
    <t>เครื่องตรวจจับโลหะชนิดประตูเดินผ่าน (walk through)</t>
  </si>
  <si>
    <r>
      <t>1.</t>
    </r>
    <r>
      <rPr>
        <b/>
        <sz val="12"/>
        <color rgb="FF0070C0"/>
        <rFont val="TH Sarabun New"/>
        <family val="2"/>
      </rPr>
      <t xml:space="preserve">รอง ผอ.อนุมัติ </t>
    </r>
    <r>
      <rPr>
        <sz val="12"/>
        <rFont val="TH Sarabun New"/>
        <family val="2"/>
      </rPr>
      <t xml:space="preserve">PR แล้ว เมื่อ 27 ก.ค. 69
2.คาดว่าเซ็นสัญญาไม่เกิน เดือน ส.ค. 69 </t>
    </r>
  </si>
  <si>
    <t>1800009031</t>
  </si>
  <si>
    <t>วิทยุสื่อสาร (walkie Talkie)</t>
  </si>
  <si>
    <r>
      <t>1.</t>
    </r>
    <r>
      <rPr>
        <b/>
        <sz val="12"/>
        <color rgb="FF0070C0"/>
        <rFont val="TH Sarabun New"/>
        <family val="2"/>
      </rPr>
      <t xml:space="preserve">ผบ.สุนันทาฯ อนุมัติ </t>
    </r>
    <r>
      <rPr>
        <sz val="12"/>
        <color theme="1"/>
        <rFont val="TH Sarabun New"/>
        <family val="2"/>
      </rPr>
      <t>PR แล้ว เมื่อ 25 พ.ค. 69
2.กำหนดส่งมอบของ 7 ส.ค. 69</t>
    </r>
  </si>
  <si>
    <t>1800009016</t>
  </si>
  <si>
    <t>ระบบกล้อง CCTV แบบ IP Camera PTZ</t>
  </si>
  <si>
    <t>ฝจอ. ปี69</t>
  </si>
  <si>
    <r>
      <t>1.</t>
    </r>
    <r>
      <rPr>
        <b/>
        <sz val="12"/>
        <color rgb="FF0070C0"/>
        <rFont val="TH Sarabun New"/>
        <family val="2"/>
      </rPr>
      <t>ผอ.อนุมัติ</t>
    </r>
    <r>
      <rPr>
        <sz val="12"/>
        <color theme="1"/>
        <rFont val="TH Sarabun New"/>
        <family val="2"/>
      </rPr>
      <t xml:space="preserve"> </t>
    </r>
    <r>
      <rPr>
        <sz val="12"/>
        <color rgb="FF7030A0"/>
        <rFont val="TH Sarabun New"/>
        <family val="2"/>
      </rPr>
      <t>PR แล้ว เมื่อ 30 ก.ค. 69  หมายเหตุ มีการยกเลิก PR เนื่องจากต้องมีการกำหนด Spec ใหม่ตามสินค้าที่มีในท้องตลาดตามที่ ฝจอ.แจ้งมา</t>
    </r>
    <r>
      <rPr>
        <sz val="12"/>
        <color theme="1"/>
        <rFont val="TH Sarabun New"/>
        <family val="2"/>
      </rPr>
      <t xml:space="preserve">
</t>
    </r>
    <r>
      <rPr>
        <sz val="12"/>
        <color rgb="FFFF0000"/>
        <rFont val="TH Sarabun New"/>
        <family val="2"/>
      </rPr>
      <t>2.กำหนดส่งมอบของ ..........</t>
    </r>
  </si>
  <si>
    <t>2802609005</t>
  </si>
  <si>
    <t>ระบบตรวจใต้ท้องรถยนต์ (UVSS)</t>
  </si>
  <si>
    <r>
      <t>1.</t>
    </r>
    <r>
      <rPr>
        <b/>
        <sz val="12"/>
        <color rgb="FF0070C0"/>
        <rFont val="TH Sarabun New"/>
        <family val="2"/>
      </rPr>
      <t xml:space="preserve">ผอ.อนุมัติ PR แล้ว เมื่อ 2 ก.ค. 69 </t>
    </r>
    <r>
      <rPr>
        <sz val="12"/>
        <rFont val="TH Sarabun New"/>
        <family val="2"/>
      </rPr>
      <t xml:space="preserve">
   (เดิม สนญ. จะจัดหาแบบ ต.1 ราคาประมาณ 3 ล้านบาท) 
2.คาดว่าเซ็นสัญญาไม่เกิน เดือน ก.ย. 69 
</t>
    </r>
    <r>
      <rPr>
        <b/>
        <sz val="12"/>
        <color rgb="FF00B050"/>
        <rFont val="TH Sarabun New"/>
        <family val="2"/>
      </rPr>
      <t xml:space="preserve">3.งบเหลือ </t>
    </r>
    <r>
      <rPr>
        <b/>
        <sz val="12"/>
        <color rgb="FF0070C0"/>
        <rFont val="TH Sarabun New"/>
        <family val="2"/>
      </rPr>
      <t>2.9 ล้านบาท</t>
    </r>
  </si>
  <si>
    <t>ประชุมกับ ฝจอ. 27 พ.ค. 69</t>
  </si>
  <si>
    <t>1800009013</t>
  </si>
  <si>
    <t>เครื่องควบคุมการผ่านเข้า-ออกรถยนต์  (ไม้กั้น)</t>
  </si>
  <si>
    <r>
      <t>1.</t>
    </r>
    <r>
      <rPr>
        <b/>
        <sz val="12"/>
        <color rgb="FF0070C0"/>
        <rFont val="TH Sarabun New"/>
        <family val="2"/>
      </rPr>
      <t>ผอ.อนุมัติ</t>
    </r>
    <r>
      <rPr>
        <sz val="12"/>
        <rFont val="TH Sarabun New"/>
        <family val="2"/>
      </rPr>
      <t xml:space="preserve"> PR แล้ว เมื่อ 15 พ.ค. 69
2.คาดว่าเซ็นสัญญาไม่เกิน เดือน ส.ค. 69 
</t>
    </r>
    <r>
      <rPr>
        <b/>
        <sz val="12"/>
        <color rgb="FF00B050"/>
        <rFont val="TH Sarabun New"/>
        <family val="2"/>
      </rPr>
      <t>3.งบเหลือ</t>
    </r>
    <r>
      <rPr>
        <sz val="12"/>
        <rFont val="TH Sarabun New"/>
        <family val="2"/>
      </rPr>
      <t xml:space="preserve"> </t>
    </r>
    <r>
      <rPr>
        <b/>
        <sz val="12"/>
        <color rgb="FF0070C0"/>
        <rFont val="TH Sarabun New"/>
        <family val="2"/>
      </rPr>
      <t>3.2 แสนบาท</t>
    </r>
  </si>
  <si>
    <t>2802609007</t>
  </si>
  <si>
    <r>
      <t>1.</t>
    </r>
    <r>
      <rPr>
        <b/>
        <sz val="12"/>
        <color rgb="FF0070C0"/>
        <rFont val="TH Sarabun New"/>
        <family val="2"/>
      </rPr>
      <t>ผอ.อนุมัติ</t>
    </r>
    <r>
      <rPr>
        <sz val="12"/>
        <rFont val="TH Sarabun New"/>
        <family val="2"/>
      </rPr>
      <t xml:space="preserve"> PR แล้ว เมื่อ 21 พ.ค. 69
2.คาดว่าเซ็นสัญญาไม่เกิน เดือน ส.ค. 69 
</t>
    </r>
    <r>
      <rPr>
        <b/>
        <sz val="12"/>
        <color rgb="FF00B050"/>
        <rFont val="TH Sarabun New"/>
        <family val="2"/>
      </rPr>
      <t>3.งบเหลือ</t>
    </r>
    <r>
      <rPr>
        <sz val="12"/>
        <rFont val="TH Sarabun New"/>
        <family val="2"/>
      </rPr>
      <t xml:space="preserve"> </t>
    </r>
    <r>
      <rPr>
        <b/>
        <sz val="12"/>
        <color rgb="FF0070C0"/>
        <rFont val="TH Sarabun New"/>
        <family val="2"/>
      </rPr>
      <t>2.7 แสนบาท</t>
    </r>
  </si>
  <si>
    <t>1800009007</t>
  </si>
  <si>
    <t>ฝจอ. ปี68</t>
  </si>
  <si>
    <r>
      <rPr>
        <b/>
        <sz val="12"/>
        <color rgb="FF00B050"/>
        <rFont val="TH Sarabun New"/>
        <family val="2"/>
      </rPr>
      <t>เสร็จแล้ว</t>
    </r>
    <r>
      <rPr>
        <sz val="12"/>
        <color theme="1"/>
        <rFont val="TH Sarabun New"/>
        <family val="2"/>
      </rPr>
      <t xml:space="preserve"> ตรวจรับ 13 พ.ค. 69 /ส่งมอบ 30 ก.ย. 69</t>
    </r>
  </si>
  <si>
    <t>2802509002</t>
  </si>
  <si>
    <t>งานติดตั้งระบบกล้องวงจรปิด CCTV วังบางขุนพรหม วังเทเวศร์ อาคาร 6</t>
  </si>
  <si>
    <r>
      <rPr>
        <b/>
        <sz val="12"/>
        <color rgb="FF00B050"/>
        <rFont val="TH Sarabun New"/>
        <family val="2"/>
      </rPr>
      <t>เสร็จแล้ว</t>
    </r>
    <r>
      <rPr>
        <sz val="12"/>
        <color theme="1"/>
        <rFont val="TH Sarabun New"/>
        <family val="2"/>
      </rPr>
      <t xml:space="preserve"> ตรวจรับแล้ว 2 เม.ย. 69</t>
    </r>
    <r>
      <rPr>
        <sz val="12"/>
        <rFont val="TH Sarabun New"/>
        <family val="2"/>
      </rPr>
      <t xml:space="preserve"> /ส่งมอบ 22 มิ.ย. 69</t>
    </r>
  </si>
  <si>
    <t>2802509003</t>
  </si>
  <si>
    <t>งานติดตั้งระบบกล้องวงจรปิด CCTV ห้องประชุมส่วนกลางอาคาร 1, 2, 7</t>
  </si>
  <si>
    <r>
      <rPr>
        <b/>
        <sz val="12"/>
        <color rgb="FF00B050"/>
        <rFont val="TH Sarabun New"/>
        <family val="2"/>
      </rPr>
      <t>เสร็จแล้ว</t>
    </r>
    <r>
      <rPr>
        <sz val="12"/>
        <color theme="1"/>
        <rFont val="TH Sarabun New"/>
        <family val="2"/>
      </rPr>
      <t xml:space="preserve"> ตรวจรับแล้ว 3 ก.พ. 69</t>
    </r>
    <r>
      <rPr>
        <sz val="12"/>
        <rFont val="TH Sarabun New"/>
        <family val="2"/>
      </rPr>
      <t xml:space="preserve"> /ส่งมอบ 22 ก.พ. 69</t>
    </r>
  </si>
  <si>
    <t>รวมงบประมาณทั้งสิ้น</t>
  </si>
  <si>
    <r>
      <t xml:space="preserve">รายละเอียดผลการพิจารณางบประมาณรายจ่ายงานประจำและแผนงานประจำปี </t>
    </r>
    <r>
      <rPr>
        <b/>
        <sz val="16"/>
        <color indexed="30"/>
        <rFont val="TH Sarabun New"/>
        <family val="2"/>
      </rPr>
      <t>2569</t>
    </r>
  </si>
  <si>
    <t xml:space="preserve"> -ศปภ. 103801 (เดิม 48004)
ศูนย์อื่น 103800</t>
  </si>
  <si>
    <t>งบผูกผัน ปี 70-74  ธนาคารอนุมัติรวมอยู่ในปี 70 ปีเดียว ในปี 69 ฝรภ.ต้องจัดสรรงบเป็นรายปี ตามที่ต้องใช้จ่ายจริง /ช่วงเวลาจัดสรร เมื่อทราบค่าใช้จ่ายแต่ละหมวดที่แน่นอน (จัดสรรได้ทั้งปี) / อำนาจอนุมัติ ผอ.ฝรภ.</t>
  </si>
  <si>
    <t>F103800: ฝ่ายรักษาความปลอดภัย (เวอร์ชัน : ผ่านการพิจารณาจาก กกธ.)</t>
  </si>
  <si>
    <t>วันที่พิมพ์รายงาน: 17/12/2025</t>
  </si>
  <si>
    <r>
      <t xml:space="preserve">รหัสงบประมาณ (CI)
</t>
    </r>
    <r>
      <rPr>
        <b/>
        <sz val="14"/>
        <color indexed="10"/>
        <rFont val="TH Sarabun New"/>
        <family val="2"/>
      </rPr>
      <t xml:space="preserve">   </t>
    </r>
    <r>
      <rPr>
        <b/>
        <sz val="14"/>
        <color indexed="53"/>
        <rFont val="TH Sarabun New"/>
        <family val="2"/>
      </rPr>
      <t>New ERP</t>
    </r>
  </si>
  <si>
    <t>คำขอของ ฝรภ.</t>
  </si>
  <si>
    <t>งบ ฝรภ. ที่ธนาคารอนุมัติ</t>
  </si>
  <si>
    <t>งบประจำปี</t>
  </si>
  <si>
    <t>งบผูกพัน</t>
  </si>
  <si>
    <t>รวมทั้งสิ้น</t>
  </si>
  <si>
    <r>
      <t>เหตุผล 
งบปี 2569 ที่</t>
    </r>
    <r>
      <rPr>
        <b/>
        <sz val="12"/>
        <color indexed="30"/>
        <rFont val="TH Sarabun New"/>
        <family val="2"/>
      </rPr>
      <t>เพิ่ม</t>
    </r>
    <r>
      <rPr>
        <b/>
        <sz val="12"/>
        <color indexed="8"/>
        <rFont val="TH Sarabun New"/>
        <family val="2"/>
      </rPr>
      <t>/</t>
    </r>
    <r>
      <rPr>
        <b/>
        <sz val="12"/>
        <color indexed="53"/>
        <rFont val="TH Sarabun New"/>
        <family val="2"/>
      </rPr>
      <t xml:space="preserve">ลด </t>
    </r>
  </si>
  <si>
    <t>ปี 2569</t>
  </si>
  <si>
    <t>ปี 2570</t>
  </si>
  <si>
    <r>
      <rPr>
        <b/>
        <sz val="12"/>
        <color indexed="30"/>
        <rFont val="TH Sarabun New"/>
        <family val="2"/>
      </rPr>
      <t>เพิ่ม</t>
    </r>
    <r>
      <rPr>
        <b/>
        <sz val="12"/>
        <color indexed="8"/>
        <rFont val="TH Sarabun New"/>
        <family val="2"/>
      </rPr>
      <t>/</t>
    </r>
    <r>
      <rPr>
        <b/>
        <sz val="12"/>
        <color indexed="53"/>
        <rFont val="TH Sarabun New"/>
        <family val="2"/>
      </rPr>
      <t>ลด</t>
    </r>
    <r>
      <rPr>
        <b/>
        <sz val="12"/>
        <color indexed="8"/>
        <rFont val="TH Sarabun New"/>
        <family val="2"/>
      </rPr>
      <t>จากคำขอ</t>
    </r>
  </si>
  <si>
    <r>
      <t>เพิ่ม/</t>
    </r>
    <r>
      <rPr>
        <b/>
        <sz val="12"/>
        <color indexed="53"/>
        <rFont val="TH Sarabun New"/>
        <family val="2"/>
      </rPr>
      <t>ลด</t>
    </r>
    <r>
      <rPr>
        <b/>
        <sz val="12"/>
        <color indexed="8"/>
        <rFont val="TH Sarabun New"/>
        <family val="2"/>
      </rPr>
      <t>จากคำขอ</t>
    </r>
  </si>
  <si>
    <t>รวมงบประมาณรายจ่ายดำเนินงาน</t>
  </si>
  <si>
    <t>หมวด 1 : ค่าใช้จ่ายเกี่ยวกับพนักงาน</t>
  </si>
  <si>
    <t xml:space="preserve">เพิ่ม : รองรับการปรับเกณฑ์ อัตรา และกระบวนการทำงาน RIA/Lean เรื่อง การไปปฏิบัติงานในและต่างประเทศ และการเดินทางไปในงาน ธปท. </t>
  </si>
  <si>
    <t>เพิ่ม : จากปัดเศษ</t>
  </si>
  <si>
    <t>เพิ่ม : ธนาคารให้ตามอัตราโครงสร้างที่ประกาศใน WEB (ฝรภ. เสนอ = อัตราที่ปรับโครงสร้างเสนอ รบ.)</t>
  </si>
  <si>
    <t>หมวด 2 : รายจ่ายดำเนินงานทั่วไป</t>
  </si>
  <si>
    <t xml:space="preserve">งบที่ธนาคารอนุมัติปี 69 ไม่รวมงบ ฝทส. </t>
  </si>
  <si>
    <t>30202</t>
  </si>
  <si>
    <t xml:space="preserve">งบผูกพันลดลง ไม่ให้ตั้งงบกลุ่ม 1 สนญ.ศรร. สัญญาใหม่ เริ่ม 1 พ.ค. 70 - 31 ต.ค. 71 (18 เดือนหลัง) โดยให้ ฝรภ. นำเสนอ กบน. พิจารณาก่อนขอตั้งงบฯ ประจำปี 2570 </t>
  </si>
  <si>
    <t>ค่าซ่อมแซมบำรุงฯ-อุปกรณ์,ระบบคอมพิวเตอร์</t>
  </si>
  <si>
    <t>เพิ่ม : งบปี 69 : จากปัดเศษ /งบผูกพัน : ธนาคารให้ปรับเพิ่มจากปี 69 ปีละ 15% ปัดเศษหลักร้อย</t>
  </si>
  <si>
    <t>ค่าวัสดุคอมพิวเตอร์</t>
  </si>
  <si>
    <t>โอนงบให้ ฝทส. (การจัดซื้อ อนุมัติโดย ฝทส.)</t>
  </si>
  <si>
    <r>
      <t xml:space="preserve">ค่าวัสดุทั่วไป </t>
    </r>
    <r>
      <rPr>
        <b/>
        <sz val="12"/>
        <color indexed="30"/>
        <rFont val="TH Sarabun New"/>
        <family val="2"/>
      </rPr>
      <t>(ผลอนุมัติ : งบวัสดุอื่นย้ายกลับมารวมวัสดุทั่วไป)</t>
    </r>
  </si>
  <si>
    <r>
      <t xml:space="preserve">ค่าสิทธิการใช้โปรแกรมส่วนงาน </t>
    </r>
    <r>
      <rPr>
        <b/>
        <sz val="12"/>
        <color indexed="53"/>
        <rFont val="TH Sarabun New"/>
        <family val="2"/>
      </rPr>
      <t>จบ</t>
    </r>
  </si>
  <si>
    <t>ลด : เปลี่ยนเป็น Canva แบบTeam (เสนอ ผป.เป็น Canva บุคคล)</t>
  </si>
  <si>
    <t>หมวด 80 : สินทรัพย์ถาวร</t>
  </si>
  <si>
    <t>ฝ่าย/ศูนย์ฯ/ทีม ที่ขอตั้งงบ</t>
  </si>
  <si>
    <t>ROW ที่ (จาก sheet ผลพิ...)</t>
  </si>
  <si>
    <t>ลด : 1 ตัว ตามที่ประชุมกับ ฝยว. แล้ว</t>
  </si>
  <si>
    <t>ลดแต่ได้ตามขอ : ยังซื้อได้ตามราคาตลาด (ราคาตลาด ณ เสนอ ผป. 103,000.- /ราคาตลาดปัจจุบัน 107,500 บาท)</t>
  </si>
  <si>
    <t>เพิ่ม : ยกงบปี 68 มาจ่ายปี 69</t>
  </si>
  <si>
    <t>เพิ่ม : จากปัดเศษ /ทดแทนที่ประตู ต4 (ใต้สะพานพระราม 8)</t>
  </si>
  <si>
    <t>คต</t>
  </si>
  <si>
    <t>ได้รับการอนุมัติงบแต่เปลี่ยนรหัสงบให้ถูกต้อง:
1.เดิมตั้งรหัสงบฯ 1800009011 สินทรัพย์ที่ซื้อมาเป็นชิ้นๆ ได้รับแล้วใช้ได้เลย 
2.ผลการอนุมัติให้ตั้งรหัสงบฯ 2802609007 เป็นสินทรัพย์ระหว่างทำ (ถือเป็นงานติดตั้ง ใช้เวลาดำเนินการ และมีมูลค่าสูง)</t>
  </si>
  <si>
    <t>1800009011</t>
  </si>
  <si>
    <t>2802609004</t>
  </si>
  <si>
    <t>ระบบห้องควบคุม ฝรภ. อาคาร ศรร.</t>
  </si>
  <si>
    <t xml:space="preserve"> -
(แผนงาน)</t>
  </si>
  <si>
    <t xml:space="preserve">ไม่ให้ตั้งงบฯ : ภาพรวมการปรับปรุงระบบ รภป. ธปท. และแผนการดำเนินการยังไม่ชัดเจน </t>
  </si>
  <si>
    <t>2802609006</t>
  </si>
  <si>
    <t>ระบบคัดกรองบุคคลหรือรถยนต์เข้า-ออก สนญ.</t>
  </si>
  <si>
    <t>1800009005</t>
  </si>
  <si>
    <t>เครื่องตรวจจับวัตถุและโลหะแบบมือถือ (handheld)</t>
  </si>
  <si>
    <t>ไม่ให้ตั้งงบฯ : ถัวงบปี 68 ซื้อแล้ว</t>
  </si>
  <si>
    <t>รวมงบประมาณรายจ่ายทั้งสิ้น</t>
  </si>
  <si>
    <r>
      <t xml:space="preserve">สรุปรายละเอียดผลการพิจารณางบประมาณรายจ่าย ประจำปี </t>
    </r>
    <r>
      <rPr>
        <b/>
        <sz val="11.95"/>
        <rFont val="Browallia New"/>
        <family val="2"/>
      </rPr>
      <t>2569 (แยกรายหน่วยงานฯ)</t>
    </r>
  </si>
  <si>
    <r>
      <t xml:space="preserve">งบประมาณ: </t>
    </r>
    <r>
      <rPr>
        <b/>
        <sz val="11.95"/>
        <rFont val="Browallia New"/>
        <family val="2"/>
      </rPr>
      <t>งบส่วนงาน</t>
    </r>
  </si>
  <si>
    <t>กลุ่มงบประมาณ
(Superior CI)
/กลุ่มครุภัณฑ์</t>
  </si>
  <si>
    <t>รหัส
งบประมาณ
(CI)</t>
  </si>
  <si>
    <r>
      <t xml:space="preserve">ชื่อกลุ่มงบประมาณ
</t>
    </r>
    <r>
      <rPr>
        <b/>
        <sz val="11.95"/>
        <rFont val="Browallia New"/>
        <family val="2"/>
      </rPr>
      <t>/ ชื่องบประมาณ</t>
    </r>
  </si>
  <si>
    <t>รหัส WBS</t>
  </si>
  <si>
    <t>Fund Center</t>
  </si>
  <si>
    <t>หน่วยงานที่ขอตั้ง งปม.</t>
  </si>
  <si>
    <t>คำขอ</t>
  </si>
  <si>
    <t>ผลการพิจารณา</t>
  </si>
  <si>
    <t>คำขอปี 2569</t>
  </si>
  <si>
    <t>คำขอปี 2570</t>
  </si>
  <si>
    <t>คำขอปี 2571</t>
  </si>
  <si>
    <t>คำขอปี 2572</t>
  </si>
  <si>
    <t>คำขอปี 2573</t>
  </si>
  <si>
    <t>คำขอปี 2574 - สิ้นสุด</t>
  </si>
  <si>
    <t>เหตุผลคำขอ</t>
  </si>
  <si>
    <t>ผลการพิจารณาปี 2569</t>
  </si>
  <si>
    <t>ผลการพิจารณาปี 2570</t>
  </si>
  <si>
    <t>ผลการพิจารณาปี 2571</t>
  </si>
  <si>
    <t>ผลการพิจารณาปี 2572</t>
  </si>
  <si>
    <t>ผลการพิจารณาปี 2573</t>
  </si>
  <si>
    <t>ผลการพิจารณาปี 2574 - สิ้นสุด</t>
  </si>
  <si>
    <t>Element</t>
  </si>
  <si>
    <t>30102</t>
  </si>
  <si>
    <t>ค่าตอบแทนการทำงานนอกเวลา</t>
  </si>
  <si>
    <t>F103800</t>
  </si>
  <si>
    <t>103801: ฝรภ.ศูนย์ปฏิบัติการรักษาความปลอดภัย</t>
  </si>
  <si>
    <t>ตั้งสำรองลดลง ตามสถานการณ์ปัจจุบัน</t>
  </si>
  <si>
    <t xml:space="preserve">- ใช้ คชจ.ต่อคนต่อเดือน ของปี 67 ทั้งปี * จำนวนคน ปี 68 (103 คน)
- ปี 69 ตั้งงบฯ 6 ลบ. (เฉลี่ยต่อคน 4,700 * 103 คน * 12 เดือน)
(ปีที่ผ่านมาตั้งค่อนข้าง under estimate ไม่รองรับ พนง. ที่รับเข้ามาใหม่ระหว่างปี และปี 69 ตั้งรองรับ พนง. ใหม่แล้ว)
</t>
  </si>
  <si>
    <t xml:space="preserve">เพิ่มขึ้นเล็กน้อย เพื่อรองรับผลจากการปรับเกณฑ์โยกย้าย / ลาออก / IJM </t>
  </si>
  <si>
    <t>103800: ฝ.รักษาความปลอดภัย</t>
  </si>
  <si>
    <t xml:space="preserve">เพิ่มคำขอ# ให้ตั้งงบประมาณจำนวน 1,048,100 บาท รองรับการปรับหลักเกณฑ์ อัตรา และกระบวนการทำงาน RIA/Lean ในเรื่อง การไปปฏิบัติงานในประเทศและต่างประเทศ และการเดินทางไปในงาน ธปท. </t>
  </si>
  <si>
    <t>ค่าใช้จ่ายสวัสดิการอื่น ๆ</t>
  </si>
  <si>
    <t>5020304000</t>
  </si>
  <si>
    <t xml:space="preserve"> ปี 69 จัดหาให้ พนง. ไม่เกิน 2 ชุด เพื่อให้เป็นไปตามแนวเดียวกันกับฝ่ายอื่นของ ธปท. (เนื่องจากการเปลี่ยนแปลงการจ่ายภาษีของกรมสรรพากร) โดย กบฝ. ให้จัดหาชุดปฏิบัติการและชุดพิธีการ (ระเบียบฯ 33/58) / นอกจากนี้ ชุดประเภทอื่นๆ ยังไม่ถึงวงรอบการจ่าย</t>
  </si>
  <si>
    <t>ค่าใช้จ่ายเพื่อส่งเสริมความสัมพันธ์พนักงาน</t>
  </si>
  <si>
    <t>คชจ.กิจกรรมส่งเสริมค่านิยมร่วมขององค์กร</t>
  </si>
  <si>
    <t>Active Headcount ฝรภ. 145 คน</t>
  </si>
  <si>
    <t>ให้ตั้งงบประมาณ ตามข้อมูลอัตรากำลัง จำนวน 165 อัตรา ๆ ละ 1,000 บาท รวม 165,000 บาท</t>
  </si>
  <si>
    <t>ตั้งงบตามจำนวนที่ ฝยบ. กำหนด คิดที่อัตรา active Headcount 145 อัตรา * 10,500 บาท</t>
  </si>
  <si>
    <t>ให้ตั้งงบประมาณตามผลการจัดสรรงบประมาณฝึกอบรมและพัฒนาพนักงานประจำปี 2569 ของ ฝยบ.</t>
  </si>
  <si>
    <t>สัญญากลุ่ม 1 สนญ. ศรร. &gt;&gt; ค่าจ้าง+OT 
ภาพรวมเหตุผลการเพิ่มขึ้นค่าจ้าง รปภ. OS ทุกกลุ่ม
- ราคาค่าจ้าง ปรับตัวเพิ่ม สอดคล้องกับนโยบายรัฐทยอยปรับขึ้นค่าจ้าง
- กม.ใหม่ เพิ่มอัตราค่าแรง ส่วนที่ทำงานเกิน 8 ชม. 
- รัฐมีนโยบายหลักปรับค่าแรงขั้นต่ำ
- การปรับปรุง TOR สัญญาใหม่ ส่งผลให้ราคาเพิ่ม ได้แก่ 1) กำหนดอุปกรณ์ รปภ. ที่จำเป็นเพิ่ม 2) ประกันชีวิต เพิ่มคุ้มครองภัยจากการปฏิบัติงาน  และ 3) เพิ่มเกณฑ์ขั้นต่ำบริษัทที่เข้ามาเสนอราคา</t>
  </si>
  <si>
    <t xml:space="preserve">สัญญาปัจจุบัน : ให้ตั้งงบประมาณ ปี 69 จำนวน 25,020,000 บาท ปี 70-สิ้นสุด จำนวน 8,020,000 บาท สำหรับสัญญากลุ่ม 1 สนญ. สำหรับชำระค่างวดตามสัญญาตั้งแต่ 1 พ.ย. 68 – 30 เม.ย. 70 รายละเอียดดังนี้
1. งปม. ปี 2569 : ค่าจ้าง 24,730,000 บาท ค่าล่วงเวลา 290,000 บาท
2. งปม. ปี 2570 : ค่าจ้าง 7,920,000 บาท ค่าล่วงเวลา 100,000 บาท
ทั้งนี้  ไม่ให้ตั้งงบประมาณสำหรับงบผูกพันสัญญาใหม่ จำนวน 45,720,000 บาท โดยให้ ฝรภ. นำเสนอ คณะกรรมการพิจารณาการจ้างบริการบุคคลภายนอก (กบน.) พิจารณาก่อนขอตั้งงบประมาณในช่วงการตั้งงบประจำปี 2570 </t>
  </si>
  <si>
    <t>สัญญากลุ่ม 2 สภน. &gt;&gt;ค่าจ้าง+OT 
ภาพรวมเหตุผลการเพิ่มขึ้นค่าจ้าง รปภ. OS ทุกกลุ่ม
- ราคาค่าจ้าง ปรับตัวเพิ่ม สอดคล้องกับนโยบายรัฐทยอยปรับขึ้นค่าจ้าง
- กม.ใหม่ เพิ่มอัตราค่าแรง ส่วนที่ทำงานเกิน 8 ชม. 
- รัฐมีนโยบายหลักปรับค่าแรงขั้นต่ำ
- การปรับปรุง TOR สัญญาใหม่ ส่งผลให้ราคาเพิ่ม ได้แก่ 1) กำหนดอุปกรณ์ รปภ. ที่จำเป็นเพิ่ม 2) ประกันชีวิต เพิ่มคุ้มครองภัยจากการปฏิบัติงาน  และ 3) เพิ่มเกณฑ์ขั้นต่ำบริษัทที่เข้ามาเสนอราคา</t>
  </si>
  <si>
    <t xml:space="preserve">สัญญาปัจจุบัน : ให้ตั้งงบประมาณ ปี 2569 จำนวน 6,100,000 บาท และปี 2570-สิ้นสุด จำนวน 11,380,000 บาท สำหรับสัญญากลุ่ม 2 สภน.สำหรับชำระค่างวดตามสัญญาตั้งแต่ 1 พ.ย. 68 – 31 ต.ค. 71 รายละเอียดดังนี้
1. งปม. ปี 2569 : ค่าจ้าง 6,080,000 บาท ค่าล่วงเวลา 20,000 บาท
2. งปม. ปี 2570 : ค่าจ้าง 6,160,000 บาท ค่าล่วงเวลา 20,000 บาท
3. งปม. ปี 2571 : ค่าจ้าง 5,180,000 บาท ค่าล่วงเวลา 20,000 บาท
</t>
  </si>
  <si>
    <t>สัญญากลุ่ม 3 สภอ.&gt;&gt;ค่าจ้าง+OT 
ภาพรวมเหตุผลการเพิ่มขึ้นค่าจ้าง รปภ. OS ทุกกลุ่ม
- ราคาค่าจ้าง ปรับตัวเพิ่ม สอดคล้องกับนโยบายรัฐทยอยปรับขึ้นค่าจ้าง
- กม.ใหม่ เพิ่มอัตราค่าแรง ส่วนที่ทำงานเกิน 8 ชม. 
- รัฐมีนโยบายหลักปรับค่าแรงขั้นต่ำ
- การปรับปรุง TOR สัญญาใหม่ ส่งผลให้ราคาเพิ่ม ได้แก่ 1) กำหนดอุปกรณ์ รปภ. ที่จำเป็นเพิ่ม 2) ประกันชีวิต เพิ่มคุ้มครองภัยจากการปฏิบัติงาน  และ 3) เพิ่มเกณฑ์ขั้นต่ำบริษัทที่เข้ามาเสนอราคา</t>
  </si>
  <si>
    <t>สัญญาปัจจุบัน : ให้ตั้งงบประมาณ ปี 2569 จำนวน 6,170,000 บาท และปี 2570-สิ้นสุด จำนวน 10,240,000 บาท สำหรับสัญญากลุ่ม 3 สภอ. สำหรับชำระค่างวดตามสัญญาตั้งแต่ 1 พ.ย. 68 – 31 ต.ค. 71 รายละเอียดดังนี้
1. งปม. ปี 2569 : ค่าจ้าง 6,150,000 บาท ค่าล่วงเวลา 20,000 บาท
2. งปม. ปี 2570 : ค่าจ้าง 5,540,000 บาท ค่าล่วงเวลา 20,000 บาท
3. งปม. ปี 2571 : ค่าจ้าง 4,660,000 บาท ค่าล่วงเวลา 20,000 บาท</t>
  </si>
  <si>
    <t>สัญญากลุ่ม 4 สภต. ศพง.&gt;&gt;ค่าจ้าง+OT 
ภาพรวมเหตุผลการเพิ่มขึ้นค่าจ้าง รปภ. OS ทุกกลุ่ม
- ราคาค่าจ้าง ปรับตัวเพิ่ม สอดคล้องกับนโยบายรัฐทยอยปรับขึ้นค่าจ้าง
- กม.ใหม่ เพิ่มอัตราค่าแรง ส่วนที่ทำงานเกิน 8 ชม. 
- รัฐมีนโยบายหลักปรับค่าแรงขั้นต่ำ
- การปรับปรุง TOR สัญญาใหม่ ส่งผลให้ราคาเพิ่ม ได้แก่ 1) กำหนดอุปกรณ์ รปภ. ที่จำเป็นเพิ่ม 2) ประกันชีวิต เพิ่มคุ้มครองภัยจากการปฏิบัติงาน  และ 3) เพิ่มเกณฑ์ขั้นต่ำบริษัทที่เข้ามาเสนอราคา</t>
  </si>
  <si>
    <t>สัญญาปัจจุบัน : ให้ตั้งงบประมาณ ปี 2569 จำนวน 6,200,000 บาท และปี 2570-สิ้นสุด จำนวน 11,550,000 บาท สำหรับสัญญากลุ่ม 4 สภต. สำหรับชำระค่างวดตามสัญญาตั้งแต่ 1 พ.ย. 68 – 31 ต.ค. 71 รายละเอียดดังนี้
1. งปม. ปี 2569 : ค่าจ้าง 6,180,000 บาท ค่าล่วงเวลา 20,000 บาท
2. งปม. ปี 2570 : ค่าจ้าง 6,250,000 บาท ค่าล่วงเวลา 20,000 บาท
3. งปม. ปี 2571 : ค่าจ้าง 5,260,000 บาท ค่าล่วงเวลา 20,000 บาท</t>
  </si>
  <si>
    <t>สัญญากลุ่ม 5 สพฐ. &gt;&gt;ค่าจ้าง+OT 
ภาพรวมเหตุผลการเพิ่มขึ้นค่าจ้าง รปภ. OS ทุกกลุ่ม
- ราคาค่าจ้าง ปรับตัวเพิ่ม สอดคล้องกับนโยบายรัฐทยอยปรับขึ้นค่าจ้าง
- กม.ใหม่ เพิ่มอัตราค่าแรง ส่วนที่ทำงานเกิน 8 ชม. 
- รัฐมีนโยบายหลักปรับค่าแรงขั้นต่ำ
- การปรับปรุง TOR สัญญาใหม่ ส่งผลให้ราคาเพิ่ม ได้แก่ 1) กำหนดอุปกรณ์ รปภ. ที่จำเป็นเพิ่ม 2) ประกันชีวิต เพิ่มคุ้มครองภัยจากการปฏิบัติงาน  และ 3) เพิ่มเกณฑ์ขั้นต่ำบริษัทที่เข้ามาเสนอราคา</t>
  </si>
  <si>
    <t>สัญญาปัจจุบัน : ให้ตั้งงบประมาณ ปี 2569 จำนวน 12,000,000 บาท และปี 2570-สิ้นสุด จำนวน 22,670,000 บาท สำหรับสัญญากลุ่ม 5 สพฐ.  สำหรับชำระค่างวดตามสัญญาตั้งแต่ 1 พ.ย. 68 – 31 ต.ค. 71 รายละเอียดดังนี้
1. งปม. ปี 2569 : ค่าจ้าง 11,980,000 บาท ค่าล่วงเวลา 20,000 บาท
2. งปม. ปี 2570 : ค่าจ้าง 12,290,000 บาท ค่าล่วงเวลา 20,000 บาท
3. งปม. ปี 2571 : ค่าจ้าง 10,340,000 บาท ค่าล่วงเวลา 20,000 บาท</t>
  </si>
  <si>
    <t>ค่าจ้าง/ค่าตอบแทน</t>
  </si>
  <si>
    <t>5031120000</t>
  </si>
  <si>
    <t xml:space="preserve">ตั้งงบฯซ่อมบัตร RFID เพิ่มเป็น 200 ใบ เนื่องจากบัตร RFID รุ่นใหม่ที่ราคาสูงขึ้นจึงใช้วิธีซ่อมแทน และเตรียมมการใช้ระบบ License Plate ในอนาคต)  และมีค่าตรวจสอบถังช่วยหายใจในการดับเพลิง SCBA เพิ่มเติม (ตามวงรอบการตรวจ)
</t>
  </si>
  <si>
    <t>ประมาณการตามค่าใช้จ่ายจริงปัจจุบัน</t>
  </si>
  <si>
    <t>ค่าซ่อมแซม บำรุงรักษา และวัสดุอะไหล่</t>
  </si>
  <si>
    <t>5031214000</t>
  </si>
  <si>
    <t>สัญญาที่ 1 ค่าซ่อมบำรุง CCTV
(ตั้งปีแรก  ปีก่อนๆ ฝทส. เป็นส่วนงานที่ตั้งงบ)</t>
  </si>
  <si>
    <t>AUTOPRO# ให้ตั้งงบประมาณ ปี 2569 จำนวน 2,263,100 บาท ปี 2570-สิ้นสุด จำนวน 1,131,600 บาท สำหรับค่าซ่อมบำรุง CCTV ให้ ปจศ. ปฏิบัติการ รปภ. (ผู้ประสานงาน : พิณทร์พนอ/7979)
หมายเหตุ : ปัดเศษหลักร้อย</t>
  </si>
  <si>
    <t>สัญญาที่ 2 จ้างบริการบำรุงรักษาอุปกรณ์ Visitor Management (เครื่องอ่านบัตรประชาชน, เครื่องอ่าน Passport, เครื่องถ่ายรูปบัตร)
(ตั้งปีแรก  ปีก่อนๆ ฝทส. เป็นส่วนงานที่ตั้งงบ)</t>
  </si>
  <si>
    <t>AUTOPRO# ให้ตั้งงบประมาณ ปี 2569 จำนวน 106,500 บาท ปี 2570-สิ้นสุด จำนวน 298,000 บาท สำหรับค่าบำรุงรักษาอุปกรณ์ Visitor Management (เครื่องอ่านบัตรประชาชน, เครื่องอ่าน Passport, เครื่องถ่ายรูปบัตร) ให้ ปจศ. ปฏิบัติการ รปภ. (ผู้ประสานงาน : พิณทร์พนอ/7979) 
หมายเหตุ : ปัดเศษหลักร้อย</t>
  </si>
  <si>
    <t>สัญญาที่ 3 จ้างบำรุงรักษาเครื่องพิมพ์บัตร Access Card ยี่ห้อ Datacard
(ตั้งปีแรก  ปีก่อนๆ ฝทส. เป็นส่วนงานที่ตั้งงบ)</t>
  </si>
  <si>
    <t>AUTOPRO# ให้ตั้งงบประมาณ ปี 2569 จำนวน 44,900 บาท ปี 2570-สิ้นสุด จำนวน 216,000 บาท สำหรับค่าจ้างบำรุงรักษาเครื่องพิมพ์บัตร Access Card ยี่ห้อ Datacard ให้ ปจศ. ปฏิบัติการ รปภ. (ผู้ประสานงาน : พิณทร์พนอ/7979) 
หมายเหตุ พิจารณาประมาณการเพิ่มเติม 15% จากราคาเดิม และปัดเศษหลักร้อย ตามเอกสารแนบ</t>
  </si>
  <si>
    <t>ค่าวัสดุใช้สอย</t>
  </si>
  <si>
    <t>- ราคาบัตร RFID งบฯ เพิ่มขึ้น 40,000 บาท เนื่องจากราคาบัตร เพิ่มขึ้นจาก 800---&gt;2,500 บาท 
-  จัดหาบัตรพนักงานเก็บเป็น stock งบฯ 75,000 บาท (งบปี 68 ไม่ตั้งงบ เพราะมี stock คงเหลือ)</t>
  </si>
  <si>
    <t xml:space="preserve">AUTOPRO# ให้ตั้งงบประมาณ ปี 2569 จำนวน 75,000 บาท ปี 2570-สิ้นสุด จำนวน 0 บาท สำหรับจัดหาบัตร RFID จำนวน 30 ชิ้น ให้ ปจศ. อำนวยการกลาง โดยพิจารณารวมงบประมาณไว้ที่งบส่วนกลาง ฝทส. (ผู้ประสานงาน: พิณทร์พนอ/7979) </t>
  </si>
  <si>
    <t xml:space="preserve">AUTOPRO# ให้ตั้งงบประมาณ ปี 2569 จำนวน 42,000 บาท ปี 2570-สิ้นสุด จำนวน 0 บาท สำหรับจัดหาบัตร Mifare 1Kb ขนาด 0.76 พร้อมกรอบใส่บัตร (หลังบัตร CO) จำนวน 600 ชิ้น ให้ ปจศ. อำนวยการกลาง โดยพิจารณารวมงบประมาณไว้ที่งบส่วนกลาง ฝทส. (ผู้ประสานงาน: พิณทร์พนอ/7979) </t>
  </si>
  <si>
    <t xml:space="preserve">AUTOPRO# ให้ตั้งงบประมาณ ปี 2569 จำนวน 30,000 บาท ปี 2570-สิ้นสุด จำนวน 0 บาท สำหรับจัดหาบัตร Access Card preprint ด้านหลัง พร้อมกรอบพลาสติก (บัตรพนักงาน) จำนวน 200 ชิ้น ให้ ปจศ. อำนวยการกลาง โดยพิจารณารวมงบประมาณไว้ที่งบส่วนกลาง ฝทส.(ผู้ประสานงาน: พิณทร์พนอ/7979) </t>
  </si>
  <si>
    <t>ค่าวัสดุทั่วไป</t>
  </si>
  <si>
    <t>- วัสดุทั่วไปที่มีใน e-catalog ลดลง 50,0000 (ตั้งงบกลางที่ ฝจอ.)
- ไม่จัดหาวัสดุงานห้องบัตร ได้แก่ หมึกพิมพ์บัตร 
- คุม stock ลดการจัดหาวัสดุทั่วไปงานห้องบัตร</t>
  </si>
  <si>
    <t>-  Lesson Learned เหตุการณ์แผ่นดินไหว จำเป็นต้องจัดหาวัสดุในงาน รภป. ให้เพียงพอต่อการใช้งาน เช่น  เสื้อกั๊กสะท้อนแสง หมวกนิรภัย 
- ผ้าคลุมรถดับเพลิงไฟฟ้าจัดหาเพิ่มอีก 1 ผืน (ปัจจุบันมี 1 ผืน)
- ถังดับเพลิงหมดอายุ 30 ถัง (มากกว่าปี 2568)</t>
  </si>
  <si>
    <t xml:space="preserve">ให้ตั้งงบประมาณ จำนวน 160,300 บาท สำหรับค่าวัสดุทั่วไป (ย้ายมาจากค่าวัสดุอื่น) ประกอบด้วย
-  Lesson Learned เหตุการณ์แผ่นดินไหว จำเป็นต้องจัดหาวัสดุในงาน รภป. ให้เพียงพอต่อการใช้งาน เช่น  เสื้อกั๊กสะท้อนแสง หมวกนิรภัย 
- ผ้าคลุมรถดับเพลิงไฟฟ้าจัดหาเพิ่มอีก 1 ผืน (ปัจจุบันมี 1 ผืน)
- ถังดับเพลิงหมดอายุ 30 ถัง </t>
  </si>
  <si>
    <t>ค่าใช้จ่ายในการจัดประชุมและจัดงาน</t>
  </si>
  <si>
    <t>- วางแผนจัด ก.ย.-ต.ค. 68
- จัดงานเหมือนปี 2568 (จัดอบรมซึ่งมีบุคคลภายนอก ไม่สามารถตั้งเป็นงบอบรมได้)</t>
  </si>
  <si>
    <t>ค่ารับรองประจำฝ่าย (ผอ.) ตั้งลดลง แต่ยังจำเป็นต้องสร้าง connection กับภาครัฐและเอกชนเหมือนเดิม</t>
  </si>
  <si>
    <t>ค่ารับรองของ ศปภ. (งบมวลชนสัมพันธ์) :  สำนักงานภาค (3) + ทอศ. (1) + ทญศ. (1)  แห่งละ 8,000 บาท  
ตั้งลดลง แต่ยังจำเป็นต้องสร้าง connection กับภาครัฐและเอกชนเหมือนเดิม</t>
  </si>
  <si>
    <t>ศปภ. เยี่ยมครอบครัว -- ประมาณจากอัตรากำลัง ศปภ. เท่าเดิม 42 คน</t>
  </si>
  <si>
    <t>ผู้บริหาร ศปภ. /ศอก. ไปภูมิภาค /หชป. หมุนเวียน หชป. :
- หมุนเวียนงาน หชป. (2 สัปดาห์ - 1 เดือน) 
- ผอ. / รอง ผอ. ศปภ. / ผช.ผอ. ทปศ. 3 สำนักงานภาคๆ ละ 2 ครั้ง/ปี เพื่อการสื่อสารนโยบายโดยตรงจากผู้บริหาร และตรวจการปฏิบัติงานอย่างใกล้ชิด พร้อมเสริมสร้างความสัมพันธ์ และรับฟังความคิดเห็นโดยตรงให้มากขึ้น  ปรับลดจำนวนคนไปตรวจประเมิน</t>
  </si>
  <si>
    <t>ศปภ. โยกย้าย  - ส่วนใหญ่จะเบิกจ่ายช่วงปลายปี ตามการโยกย้าย</t>
  </si>
  <si>
    <t>งานสืบสวนและประมวลข่าว -- ตั้งสำรองสำหรับงานลับเช่นเดียวกับปีก่อน</t>
  </si>
  <si>
    <t>ค่าธรรมเนียมและค่าบำรุงสมาชิก</t>
  </si>
  <si>
    <t xml:space="preserve">การจ่ายเงินต้องเป็นตามวงรอบ
1. ค่าตรวจรังสี พนง.รปภ. ลดลง
2. ค่าตรวจเครื่อง X-RAY ยังไม่ถึงรอบจ่าย  (ปีนี้ตรวจ /ปกติ 2 ปีครั้ง)
</t>
  </si>
  <si>
    <t>30212</t>
  </si>
  <si>
    <t>ค่าสิทธิการใช้โปรแกรม</t>
  </si>
  <si>
    <t xml:space="preserve">เพิ่มการใช้จาก 2 เป็น 3 license  ทำให้ราคาเพิ่มขึ้นจาก 4,400---&gt;6,600 บาท </t>
  </si>
  <si>
    <t>AUTOPRO# ให้ตั้งงบประมาณ ปี 2569 จำนวน 6,300 บาท ปี 2570-สิ้นสุด จำนวน 6,300 บาท สำหรับค่าสิทธิการใช้โปรแกรม Canva for teams จำนวน 3 license ให้ ปจฝ. รักษาความปลอดภัย (ผู้ประสานงาน: พิณทร์พนอ/7979)
รายชื่อผู้ใช้งานตามเอกสารแนบ</t>
  </si>
  <si>
    <t>ปรับลดระดับ version ตามการใช้งานจริง (จากเดิมใช้ Adobe Creative Cloud เป็น Adobe Photoshop ราคาลดลงจาก 46,000---&gt; 23,000 บาท)</t>
  </si>
  <si>
    <t>AUTOPRO# ให้ตั้งงบประมาณ ปี 2569 จำนวน 23,000 บาท ปี 2570-สิ้นสุด จำนวน 23,000 บาท สำหรับค่าสิทธิการใช้โปรแกรม Adobe Photoshop จำนวน 1 license ให้ ปจศ. อำนวยการกลาง (ผู้ประสานงาน: พิณทร์พนอ/7979) โดยพิจารณารวมไว้ที่ค่าสิทธิการใช้โปรแกรม ของงบส่วนกลาง ของ ฝทส. 
รายชื่อผู้ใช้งานตามเอกสารแนบ</t>
  </si>
  <si>
    <t>ค่าใช้จ่ายในการสืบสวนและค่าเสียหายทางคดี</t>
  </si>
  <si>
    <t>- ค่าใข้จ่ายเกิดขึ้นตามเหตุที่ต้องสืบ
- จำเป็นต้องตั้งงบสำหรับงานสืบสวนที่เป็นเรื่องลับ และรองรับการตรวจประวัติ OS ในรูปแบบใหม่</t>
  </si>
  <si>
    <t>หมวด 5 : รายจ่ายเรียกเก็บและรับคืน</t>
  </si>
  <si>
    <t>30501</t>
  </si>
  <si>
    <t>ค่าใช้จ่ายเรียกเก็บของกิจการฯ</t>
  </si>
  <si>
    <t>5031403000</t>
  </si>
  <si>
    <t>ค่างานบริการที่เรียกเก็บจากกิจการธนบัตร</t>
  </si>
  <si>
    <t xml:space="preserve">งบประมาณค่าใช้จ่ายและรับคืน ที่เรียกเก็บจากกิจการธนบัตร (สพฐ.) ประจำปี 2569 </t>
  </si>
  <si>
    <t>รวมงบประมาณรายจ่ายลงทุนในสินทรัพย์ถาวร</t>
  </si>
  <si>
    <t>11</t>
  </si>
  <si>
    <t>ครุภัณฑ์คอมพิวเตอร์</t>
  </si>
  <si>
    <t xml:space="preserve">จัดหา PC+จอ =1 ชุด -- เพื่อใช้ในการ Audit offsite ตามแผนตรวจประเมินมาตรฐานการรักษาความปลอดภัย สำนักงานใหญ่ ,สำนักงานภาค และ CCC ทั่วประเทศ </t>
  </si>
  <si>
    <t>AUTOPRO# ให้ตั้งงบประมาณ ปี 2569 จำนวน 38,000 บาท  สำหรับจัดหาเครื่องไมโครคอมพิวเตอร์ เฉพาะกิจ จำนวน 1 เครื่อง ให้ ปจศ. อำนวยการกลาง (ผู้ประสานงาน : พิณทร์พนอ/7979)
รายชื่อผู้ดูแลเครื่องตามเอกสารแนบ</t>
  </si>
  <si>
    <t>AUTOPRO# ให้ตั้งงบประมาณ ปี 2569 จำนวน 8,000 บาท  สำหรับจัดหาจอคอมพิวเตอร์ จำนวน 1 จอ ให้ ปจศ. อำนวยการกลาง (ผู้ประสานงาน : พิณทร์พนอ/7979)
รายชื่อผู้ดูแลเครื่องตามเอกสารแนบ</t>
  </si>
  <si>
    <t>14</t>
  </si>
  <si>
    <t>ครุภัณฑ์โสตทัศนูปกรณ์</t>
  </si>
  <si>
    <t>เครื่องขยายเสียง โทรโข่ง (Megaphone) - แบบสายสะพาย
จัดหาเพิ่มเติม จาก lesson learn จากเหตุแผ่นดินไหว ปี 68 มีไม่เพียงพอใช้ และบางส่วนเสื่อมสภาพตามอายุการใช้งาน</t>
  </si>
  <si>
    <t>ให้ตั้งงบประมาณ จำนวน 12,000 บาท สำหรับจัดหาเครื่องขยายเสียง โทรโข่ง (Megaphone) จำนวน 3 เครื่อง เนื่องจาก Lesson Learned เหตุการณ์แผ่นดินไหว ปัจจุบันมีเพียง 4 เครื่อง ไม่เพียงพอต่อการปฏิบัติงาน จึงต้องซื้อเพิ่ม</t>
  </si>
  <si>
    <t>เครื่องขยายเสียง โทรโข่ง (Megaphone) - แบบคาดเอว 
จัดหาเพิ่มเติม จาก lesson learn จากเหตุแผ่นดินไหว ปี 68 มีไม่เพียงพอใช้ และบางส่วนเสื่อมสภาพตามอายุการใช้งาน</t>
  </si>
  <si>
    <t>ให้ตั้งงบประมาณ จำนวน 11,000 บาท สำหรับจัดหาเครื่องขยายเสียง โทรโข่ง (Megaphone) แบบคาดเอว ไม่เพียงพอใช้งาน จาก Lesson Learned เหตุการณ์แผ่นดินไหว ปัจจุบันมีเพียง 4 เครื่อง ไม่เพียงพอต่อการปฏิบัติงาน จึงต้องซื้อเพิ่ม</t>
  </si>
  <si>
    <t>ทดแทนชำรุด 1 ตัว /จัดหาใหม่ 1 ตัว สำหรับประจำห้องประชุม 113 และ 114 ฝรภ.</t>
  </si>
  <si>
    <t>ให้ตั้งงบประมาณ จำนวน 11,000 บาท สำหรับปลาดาว (sound station) จำนวน 1 เครื่อง เพื่อทดแทนเครื่องเดิม รหัส 40023417 ที่ชำรุด สำหรับประจำห้องประชุม 113 และ 114 ฝรภ.โดยให้ส่งครุภัณฑ์เดิมคืนคลังพัสดุกลาง ฝจอ.</t>
  </si>
  <si>
    <t>16</t>
  </si>
  <si>
    <t>ครุภัณฑ์เบ็ดเตล็ด</t>
  </si>
  <si>
    <t>ทดแทนของเดิม ซึ่งหมดระยะรับประกันของบริษัทมีผลต่อความปลอดภัยของผู้ใช้งาน</t>
  </si>
  <si>
    <t>ให้ตั้งงบประมาณ จำนวน 678,000 บาท สำหรับจัดหาเสื้อเกราะกันกระสุน จำนวน 21 ตัว สำหรับ Level 2, Level 3 เพื่อทดแทนของเดิมที่ ครบกำหนดอายุการใช้งาน 5 ปี ตามการประกันการใช้งานของบริษัทฯ ต้องทดแทนเนื่องจากเหตุผลความปลอดภัย (รหัสครุภัณฑ์ 30133458, 30133459, 30133460, 30133481, 30133461, 30133462, 30133463, 30133464, 30133465, 30133466, 30133467, 30133468, 30133469, 30133470, 30133471, 30133472) โดยให้ส่งครุภัณฑ์เดิมคืนคลังพัสดุกลาง ฝจอ.</t>
  </si>
  <si>
    <t>25</t>
  </si>
  <si>
    <t>ครุภัณฑ์ยานพาหนะขนส่งและเคลื่อนย้าย</t>
  </si>
  <si>
    <t>จัดหา 1 คันทดแทนของเดิม (ปัจจุบันมี 2 คัน มีอายุการใช้งาน 10 ปี ซ่อมบ่อย)</t>
  </si>
  <si>
    <t>ให้ตั้งงบประมาณ จำนวน 112,000 บาท สำหรับจัดหารถจักรยานยนต์ เพื่อทดแทนคันเดิม ซึ่งมีอายุการใช้งาน 10 ปี</t>
  </si>
  <si>
    <t>9</t>
  </si>
  <si>
    <t>เครื่องใช้สำนักงานเกี่ยวกับการสื่อสารและสัญญาณ</t>
  </si>
  <si>
    <t>เครื่องตรวจจับโลหะชนิดประตูเดินผ่าน</t>
  </si>
  <si>
    <t xml:space="preserve">ตั้งเพิ่มเติม เพื่อรองรับมาตรการตรวจ OS  ตามแนวทางใหม่ของ ธปท. ในที่ประชุมร่วมระหว่าง ผส. และ ผป. </t>
  </si>
  <si>
    <t>ให้ตั้งงบประมาณ จำนวน 310,000 บาท สำหรับจัดหาเครื่องตรวจจับโลหะ ชนิดประตูเดินผ่าน จำนวน 1 เครื่อง เพื่อรองรับมาตรการตรวจ OS  ตามแนวทางใหม่ของ ธปท. ในที่ประชุมร่วมระหว่าง ผส. และ ผป. โดยติดตั้งพื้นที่บริเวณทางเข้า ต 4 ซึ่งมีพนักงานและผู้มาติดต่อเดินผ่านเข้าออกแต่ละวันจำนวนมาก</t>
  </si>
  <si>
    <t>เครื่องตรวจจับวัตถุและโลหะแบบมือถือ</t>
  </si>
  <si>
    <t>จัดหาเพิ่มเติม เพื่อให้เพียงพอต่อการตรวจ OS / บุคคลภายนอก ตามจุดรักษาการณ์ ตามเหตุ incident กระสุนปืน และใช้เป็นสำรองกรณีเครื่องเสีย</t>
  </si>
  <si>
    <t>ไม่ให้ตั้งงบประมาณ สำหรับเครื่องตรวจจับวัตถุและโลหะแบบมือถือ เนื่องจากเป็นการจัดหาเร่งด่วน ฝรภ. ได้ดำเนินการเพิ่มงบระหว่างปี 2568 เรียบร้อยแล้ว</t>
  </si>
  <si>
    <t>เพิ่มคำขอ# ให้ตั้งงบประมาณ จำนวน 1,765,500 บาท สำหรับจัดหาเครื่อง X-Ray จำนวน 1 เครื่อง เนื่องจากจัดหาไม่ทันในปี 2568</t>
  </si>
  <si>
    <t xml:space="preserve">ฝจอ. แจ้งเหตุผลความจำเป็น -- ต้อง upgrade :
1. controller 3000 ที่ใช้งานหยุดการผลิต ต้อง up เป็นรุ่น 6000 และ
2. windows server 2012 ต้อง up เป็นรุ่น 2019 </t>
  </si>
  <si>
    <t>ย้ายไปตั้งเป็นงบประมาณสินทรัพย์ระหว่างทำ</t>
  </si>
  <si>
    <t>เครื่องควบคุมการผ่านเข้า-ออกรถยนต์</t>
  </si>
  <si>
    <t>ฝจอ. แจ้งเหตุผลความจำเป็น --รุ่นที่ใช้งานหยุดการผลิต ไม่มีอะไหล่ทดแทนและอายุการใช้งานเกิน 10 ปี</t>
  </si>
  <si>
    <t xml:space="preserve">ให้ตั้งงบประมาณ จำนวน 1,765,500 บาท สำหรับจัดหาเครื่องควบคุมการผ่าน่เข้า-ออกรถยนต์ จำนวน 8 เครื่อง เพื่อทดแทนของเดิม เนื่องจากผลิตภัณฑ์รุ่นที่ใช้งานหยุดการผลิต ไม่มีอะไหล่ทดแทนและอายุการใช้งานเกิน 10 ปี  </t>
  </si>
  <si>
    <t xml:space="preserve">ฝจอ. แจ้งเหตุผลความจำเป็น  -- สำรองกรณีชำรุดซึ่งรองรับเทคโนโลยี 5 ปีข้างหน้าแล้ว
(ทดแทนทันที 4 จุด เพราะมีปัญหาเรื่องภาพ ส่วนอีก 6 กล้อง ใช้เป็นสำรอง / กล้องสำรอง 5 ตัว ที่จัดหาปีที่แล้วได้นำไปใช้แล้ว)
</t>
  </si>
  <si>
    <t xml:space="preserve">ให้ตั้งงบประมาณ จำนวน 1,765,500 บาท สำหรับการจัดหาระบบกล้อง CCTV แบบ IP Camera PTZ จำนวน 10 เครื่อง ทดแทนของเดิม เพื่อให้มีกล้องสำรองไว้ใช้อย่างเพียงพอ ชึ่งเป็นไปตามบันทึกการประชุม กนร. ครั้งที่ 1/62 ความเห็นที่ประชุม ข้อ 1.3  และประกอบกับกล้องมีอายุการใช้งานมา 6–10 ปี
</t>
  </si>
  <si>
    <t>ปัจจุบันมี 15 เครื่อง ต้องจัดหาเพิ่มเติม จาก Lesson Learned เหตุการณ์แผ่นดินไหว เนื่องจากช่องทางการสื่อสารไม่เพียงพอ ไม่ครอบคลุม (MST/มือถือ/ว.แดง)  ประจำจุด ดังนี้ ลานวงเวียนหน้าอาคาร1=2 เครื่อง/ วงเวียนอาคาร2=2 เครื่อง/ จุดรวมพล = 3 เครื่อง</t>
  </si>
  <si>
    <t xml:space="preserve">ให้ตั้งงบประมาณ จำนวน 56,000 บาท สำหรับจัดหาวิทยุสื่อสาร (walkie Talkie) จำนวน 7 เครื่อง เนื่องจากช่องทางการสื่อสารไม่เพียงพอ จาก Lesson Learned เหตุการณ์แผ่นดินไหว </t>
  </si>
  <si>
    <t>เพิ่มคำขอ# ให้ตั้งงบประมาณ จำนวน 4,651,200 บาท สำหรับงานติดตั้งระบบกล้องวงจรปิด CCTV วังบางขุนพรหม วังเทเวศร์ อาคาร 6 เนื่องจากจัดจ้างไม่ทันในปี 2568 (C/48001-2568-0901)</t>
  </si>
  <si>
    <t>เพิ่มคำขอ# ให้ตั้งงบประมาณ จำนวน 1,190,000 บาท สำหรับงานติดตั้งระบบกล้องวงจรปิด CCTV ห้องประชุมส่วนกลางอาคาร 1, 2, 7 เนื่องจากจัดจ้างาไม่ทันในปี 2568 (C/48001-2568-0902)</t>
  </si>
  <si>
    <t xml:space="preserve"> ฝจอ. ประเมินมูลค่า -- เป็นการปรับปรุงห้องควบคุม ศรร. ตามแผน staffing ที่ได้รับอนุมัติจาก รบ. พร้อมยกระดับให้ OS เข้ามาทำงานแทน ฝรภ.  (1)ปรับปรุงห้องควบคุม ศรร. กั้น server + ปรับปรุงจอ monitor 0.7 ลบ. (2) เชื่อมโยงระบบ fire alarm 1 ลบ. </t>
  </si>
  <si>
    <t xml:space="preserve">ไม่ให้ตั้งงบประมาณ เนื่องจากภาพรวมการปรับปรุงระบบรักษาความปลอดภัย ธปท. และแผนการดำเนินการยังไม่ชัดเจน </t>
  </si>
  <si>
    <t xml:space="preserve">ฝจอ. แจ้งเหตุผลความจำเป็น ทดแทนที่ประตู 4 (ประตูรถเข้า-ออก ใต้สะพานพระราม 8) ซึ่งมีอายุการใช้งานเกิน 10 ปี และไม่มีอะไหล่สำรอง </t>
  </si>
  <si>
    <t xml:space="preserve">ให้ตั้งงบประมาณ จำนวน 3,902,400 บาท สำหรับระบบตรวจใต้ท้องรถยนต์ (UVSS) เพื่อทดแทนที่ประตู 4 (ประตูรถเข้า-ออก ใต้สะพานพระราม 8) ซึ่งมีอายุการใช้งานเกิน 10 ปี และไม่มีอะไหล่สำรอง </t>
  </si>
  <si>
    <t xml:space="preserve">อยู่ระหว่างเสนอ VFM ต่อ กสท 6 ส.ค. 68  ซึ่งจะแจ้งผลการประชุมและตัวเลขงบ (final) ทาง mail อีกครั้ง
ระบบใหม่ --ปัจจุบันเราใช้ระบบ RFID ในการผ่านไม้กั้น และใช้บัตร ACS ในการผ่านปีกผีเสื้อ และใช้ OS ทำงานรูปแบบ Manual จึงได้ศึกษาเทคโนโลยี และปรับปรุงกระบวนการทำงานให้เป็นแบบ Automate โดยปรับปรุง ฝรภ.ออนไลน์ให้ทันสมัย ปรับปรุงระบบ VMS ให้สามารถรองรับ Sensor ต่างๆ เช่น อ่านบัตร ปชช. อ่านป้ายทะเบียน อ่านคิวอาร์โค้ด และอื่นฯ และใช้ระบบอ่านป้ายทะเบียนคัดกรองผ่านไม้กั้น และทางลงที่จอดรถใต้ดิน ทดแทน RFID ที่กำหนดจะหมดอายุ และมีต้นทุนของบัตรอยู่ที่ใบละ 2,500 บาท พร้อมทั้งเสริมประสิทธิภาพโดยใช้ Machine Reception และ FaceRecognition ในการลงทะเบียนและผ่านปีกผีเสื้อต่อไป สามารถที่จะทดแทนกำลัง OS ลดลงได้ 5 คน
ระบบใหม่สำหรับอ่านป้ายทะเบียนรถยนต์ เพื่อเปิดไม้กั้นรถยนต์ผ่านเข้า-ออก (ปัจจุบันใช้บัตร RFID เปิดไม้กั้น) &gt;&gt; 
(1) License Plate 10 จุด (ต.1 ต.4 และทางลงที่จอดรถใต้ดินทั้งหมด) =1.75 ลบ._x000B_(2) Kiosk 1.75 ลบ._x000B_(3) Software +API  =0.9 ลบ._x000B_(4) Face Reg. = 1 ลบ._x000B_(5) ฝรภ. online 1 ลบ.
</t>
  </si>
  <si>
    <t xml:space="preserve"> เครื่องควบคุมการเปิด-ปิด (Access Control System)</t>
  </si>
  <si>
    <t>ให้ตั้งงบประมาณ จำนวน 13,369,200 บาท สำหรับการจัดซื้อ Access Control System เพื่อทดแทนอุปกรณ์ที่จะหมดอายุจากการอัพเกรด window 2019 ตามมติ กผป. (ย้ายจากงบประมาณสินทรัพย์ถาวร มาเป็น สินทรัพย์ระหว่างทำ)</t>
  </si>
  <si>
    <t>รอแบบคำขอ</t>
  </si>
  <si>
    <t>ใช้ Monitor สัญญาณภาพสด จากกล้อง Body Camera ชนิด Live Stream ที่ติดตัวเจ้าหน้าที่ ฝรภ.สายตรวจ มายังห้องควบคุม ฝรภ. หรือ War Room</t>
  </si>
  <si>
    <t>ทดแทนเครื่องเฉพาะกิจ สนญ. ที่มีอายุเกิน 5 ปี (ทุกเครื่อง 6 ปี)</t>
  </si>
  <si>
    <t>เก็บอาวุธปืนก่อนเข้าปฏิบัติหน้าที่สายตรวจอาคาร ในจุดใต้กล้อง CCTV มีการล็อกที่แน่นหนา+เข้าถึงได้เฉพาะผู้มีอำนาจหน้าที่ ตามหลักนิรภัยสากล</t>
  </si>
  <si>
    <t>เป็นการปรับปรุงเพื่อให้รองรับการปฏิบัติงาน OS และการกำกับควบคุม OS  ซึ่งผ่านการหารือ ฝจอ.  ฝทส.  ฝสภ. แล้ว</t>
  </si>
  <si>
    <t>1. ติดตั้งอาคาร ศรร. (ทดแทนของเดิม)
2. ปี 69 ตั้งงบซื้อยี่ห้อเดียวกับที่ติดตั้ง ต.1  แต่จัดซื้อจริง
    เปลี่ยนยี่ห้อสืบราคาได้ราคาต่ำสุดเป็นของ บ.apple scientific</t>
  </si>
  <si>
    <t>ทดแทนของเดิมชำรุด</t>
  </si>
  <si>
    <t>ปี 70 เปลี่ยนวิธีจากเดิมตั้งงบค่าเสื้อผ้าเพื่อซื้อ/ตัด &gt;เปลี่ยนเป็น&gt; เช่าสูทเมื่อมีออก event ซึ่งทำให้ช่วยลดต้นทุนให้ธนาคารได้มาก</t>
  </si>
  <si>
    <t>ทดแทนของเดิมเสื่อมสภาพ มีปัญหาในการบันทึกภาพ</t>
  </si>
  <si>
    <t>ตั้งให้มี Stock พอตามบันทึกฯ กบร.ครั้งที่ 1/62</t>
  </si>
  <si>
    <t>กล้องโทรทัศน์วงจรปิดตรวจการณ์ ชนิดติดตัว 
(Body Camera) แบบ Live Stream</t>
  </si>
  <si>
    <t>เพิ่มประสิทธิภาพลาดตระเวรส่งภาพสู่ Wall Room โดยใช้ Wi-Fi และซิมอินเทอร์เน็ต ช่วยให้ศูนย์สั่งการติดตามการเดินตรวจและสั่งการระงับเหตุฉุกเฉินได้ทันที</t>
  </si>
  <si>
    <t>ระบบตรวจจับความร้อนสูงผิดปกติที่จุดเชื่อมต่อ สายชาร์จ หรือแบตเตอรี่รถยนต์ไฟฟ้าตั้งแต่ระยะเริ่มต้น เพื่อป้องกันเหตุเพลิงใหม้</t>
  </si>
  <si>
    <t xml:space="preserve"> -งบปี 70 ติดตั้งอาคาร 7 (เพิ่มจุดติดตั้ง)
 -งบปี 69 ติดตั้งอาคาร 2 (ทดแทนของเดิม)</t>
  </si>
  <si>
    <t>ทดแทนเครื่องเดิม เนื่องจากเครื่องเดิมยกเลิกการผลิต และไม่มีอะไหล่รองรับแล้ว</t>
  </si>
  <si>
    <t xml:space="preserve">เพื่อใช้จัดการเหตุที่ไม่ถึงระดับการใช้อาวุธปืน แต่มีความเสี่ยงสูง /ลดความเสี่ยงถูกฟ้องร้องกรณีจัดการเกินเหตุได้  (รบ.เห็นชอบแล้ว) </t>
  </si>
  <si>
    <t>จัดงาน Financial Crime Investigation</t>
  </si>
  <si>
    <t>ทดแทนของเก่า อายุงาน 10 ปี (เกณฑ์อายุใช้งานธนาคาร 6 ปี)</t>
  </si>
  <si>
    <t>ทดแทนของเก่า อายุงาน 11 ปี (เกณฑ์อายุใช้งานธนาคาร 6 ปี)</t>
  </si>
  <si>
    <t xml:space="preserve"> -ทดแทนของเดิม
 -อายุใช้งานปัจจุบัน 6-10 ปี แล้ว
 -ราคาต่อหน่วย = ราคาเฉลี่ย เนื่องจากแบ่งเป็น 3 รุ่น (ระยะไกล กลาง สั้น)  </t>
  </si>
  <si>
    <t xml:space="preserve"> -เป็น Stock ปกติควรมี 10 ตัว
 -ปัจจุบันอายุงาน 6-10 ปีแล้ว</t>
  </si>
  <si>
    <t xml:space="preserve"> -เปลี่ยนทุกจุด ปัจจุบันซ่อมเวียนใช้ อายุเกินไม่เหมาะซ่อมแล้ว
 -ปัจจุบันงานซ่อมแพงมาก การซื้อเครื่องที่ลดราคาค่าซ่อมด้วย</t>
  </si>
  <si>
    <t xml:space="preserve"> -เสื้อผ้าปรับราคาเพิ่มขึ้นมากต้องสืบราคาใหม่ 
 -ปีก่อนๆใช้ราคามาตรฐานจาก ฝผง. ตั้งงบ ซึ่งประกาศมาตั้งแต่ปี 66 
 -ปี 70 จัดหาชุดพิธีการใหม่ในภาพรวมทั้งหมด
 -พนง.ใหม่ จัดหา 3 ชุด (ชุดพิธีการ 1 ชุด/ชุดปฏิบัติการ 2 ชุด)</t>
  </si>
  <si>
    <t xml:space="preserve">1.-ศปภ. ปรับการปฏิบัติงานให้สอดคล้อง กม.ใหม่ (หารือ ฝกม.แล้ว)
   -ศอก. ศสป. ตั้งเพิ่มจากเหตุปฏิบัติงานแทน OS เหตุบอกเลิกสัญญาปี 69 
     และสำรองงานเร่งด่วนนอกเวลา </t>
  </si>
  <si>
    <t xml:space="preserve"> 2.-อัตรากำลังลดลงจากปีก่อน 108 &gt;&gt; 103 คน
    -90% เป็น พนง.เก่าจึงต้องปรับฐานเงินเดือนเฉลี่ยเพิ่มอีก 2.5%
     เพื่อให้พอต่อการใช้จ่ายปี 70</t>
  </si>
  <si>
    <t>3.2 ค่าเช่าอุปกรณ์ เครื่องมือ เครื่องใช้ (เช่าชุดสูท)</t>
  </si>
  <si>
    <t>เพิ่มจากค่าจ้างแรงงานทำของ ดังนี้</t>
  </si>
  <si>
    <t>1. ตั้งสำรองกรณีฉุกเฉินเพิ่ม เช่น ราคาปรับตัวเพิ่มมาก มีค่าตรวจสอบใหม่</t>
  </si>
  <si>
    <t>2. ตั้งตามอัตราที่บันทึกเลขที่ 5/66 กำหนด</t>
  </si>
  <si>
    <t xml:space="preserve">2. กลุ่ม 2-5 ลดลงเนื่องจาก 
    -กลุ่ม 2, 4 เป็นราคาราคาตามสัญญาซึ่งถูกกว่าราคากลางปี 69
    -กลุ่ม 3 ราคาสัญญาหลัง stop gap สืบใหม่ปี 70 
    ใช้ราคาสัญญา บ.ขอนแก่น +3% </t>
  </si>
  <si>
    <t>มีรายการเพิ่มขึ้นอย่างมีนัยสำคัญดังนี้
 -เพิ่มวัสดุเกี่ยวกับการระงับเหตุ EV ประมาณ 400,000.-
 -อุปกรณ์ห้องบัตร ประมาณ 370,000.- 
- อุปกรณ์เพื่อยกประสิทธิภาพระงับเหตุ ประมาณ 150,000.-</t>
  </si>
  <si>
    <t>1. -ปี 70 = สัญญาใหม่ เฉพาะ สนญ. 
    -ปี 69 = ค่าซ่อมบำรุง CCTV สัญญารวมทั้ง สนญ. + สนภ. 3 แห่ง / ค่าบำรุง visitor management สนญ. + สพฐ.</t>
  </si>
  <si>
    <t>2. ปี 70 ซื้อเครื่องใหม่ ให้มีเงื่อนไขซ่อมบำรุง (ระยะประกัน 3 ปี รวม MA)</t>
  </si>
  <si>
    <t>ราคาบัตร RFID เพิ่มขึ้นอย่างมีนัยสำคัญ (860 &gt;&gt; 2,500 บาท) ตั้งตามความต้องการใช้ในแต่ละปี โดยพิจารณา stock ที่มีอยู่ปัจุบันและตั้งให้พอใช้ทั้งปี 70</t>
  </si>
  <si>
    <t xml:space="preserve"> -ค่าธรรมเนียมใหม่ ได้แก่  ค่าบริการ Internet SIM รายปี สำหรับ Body Camara
 -สำรองฉุกเฉิน</t>
  </si>
  <si>
    <t>เพิมจากหมวดครุภัณฑ์</t>
  </si>
  <si>
    <t>ตรวจเอกสารแนบ</t>
  </si>
  <si>
    <t xml:space="preserve"> -วางแผนจัด ก.ย.-ต.ค. 69 (ปี 69 จัด 16-18 ก.ย.69)
 -จัดงานเหมือนปี69 (จัดอบรมซึ่งมีบุคคลภายนอก ไม่สามารถตั้งเป็นงบอบรมได้)</t>
  </si>
  <si>
    <t>เพื่อให้มีกล้องสำรองเพียงพอตามความเหมาะสม 
ชึ่งเป็นไปตามบันทึกการประชุม กนร. ครั้งที่ 1/62</t>
  </si>
  <si>
    <t>รอปรับคำขอ</t>
  </si>
  <si>
    <t>คำขอปี 2570 - สิ้นสุด</t>
  </si>
  <si>
    <t xml:space="preserve"> -วางแผนจัด ก.ย.-ต.ค.  (ปี 69 จัด 16-18 ก.ย.69)
 -จัดงานเหมือนปี69 (จัดอบรมซึ่งมีบุคคลภายนอก ไม่สามารถตั้งเป็นงบอบรมได้)</t>
  </si>
  <si>
    <t xml:space="preserve">ทดแทนของเดิมที่ครบอายุการใช้งาน 20 ปี </t>
  </si>
  <si>
    <t xml:space="preserve">2. กลุ่ม 2-5 ลดลงเนื่องจาก 
    -กลุ่ม 2, 4 เป็นราคาราคาตามสัญญาซึ่งถูกกว่าราคากลางปี 69
    -กลุ่ม 3 ราคาสัญญาหลัง stop gap สืบใหม่เริ่มสัญญาปี 70 
    ใช้ราคาสัญญา บ.ขอนแก่น +3% </t>
  </si>
  <si>
    <t>4. กลุ่ม4-สภต./ศหญ. ศพง.</t>
  </si>
  <si>
    <t>2. จ้างบำรุงรักษาอุปกรณ์ Visitor Management (เครื่องอ่าน
    บัตรประชาชน, เครื่องอ่าน Passport, เครื่องถ่ายรูปบัตร)</t>
  </si>
  <si>
    <r>
      <rPr>
        <b/>
        <sz val="8"/>
        <color rgb="FFFFC000"/>
        <rFont val="Arial"/>
        <family val="2"/>
      </rPr>
      <t>INFRA#</t>
    </r>
    <r>
      <rPr>
        <b/>
        <sz val="8"/>
        <color theme="9" tint="-0.249977111117893"/>
        <rFont val="Arial"/>
        <family val="2"/>
      </rPr>
      <t xml:space="preserve"> ใช้ Monitor สัญญาณภาพสด จากกล้อง Body Camera ชนิด Live Stream ที่ติดตัวเจ้าหน้าที่ ฝรภ.สายตรวจ มายังห้องควบคุม ฝรภ. หรือ War Room</t>
    </r>
  </si>
  <si>
    <r>
      <rPr>
        <b/>
        <sz val="8"/>
        <color rgb="FFFFC000"/>
        <rFont val="Arial"/>
        <family val="2"/>
      </rPr>
      <t>INFRA#</t>
    </r>
    <r>
      <rPr>
        <b/>
        <sz val="8"/>
        <color theme="9" tint="-0.249977111117893"/>
        <rFont val="Arial"/>
        <family val="2"/>
      </rPr>
      <t xml:space="preserve"> ทดแทนเครื่องเฉพาะกิจ สนญ. ที่มีอายุเกิน 5 ปี (ทุกเครื่อง 6 ปี)</t>
    </r>
  </si>
  <si>
    <r>
      <rPr>
        <b/>
        <sz val="8"/>
        <color rgb="FFFFC000"/>
        <rFont val="Arial"/>
        <family val="2"/>
      </rPr>
      <t>DATA#</t>
    </r>
    <r>
      <rPr>
        <b/>
        <sz val="8"/>
        <color theme="9" tint="-0.249977111117893"/>
        <rFont val="Arial"/>
        <family val="2"/>
      </rPr>
      <t xml:space="preserve"> เพิ่ม 1 licence รวมเป็น 2 licence (พนง. 1,OS 1) + ราคาปรับตัวเพิ่ม</t>
    </r>
  </si>
  <si>
    <r>
      <rPr>
        <b/>
        <sz val="8"/>
        <color rgb="FFFFC000"/>
        <rFont val="Arial"/>
        <family val="2"/>
      </rPr>
      <t>DATA#</t>
    </r>
    <r>
      <rPr>
        <b/>
        <sz val="8"/>
        <color theme="9" tint="-0.249977111117893"/>
        <rFont val="Arial"/>
        <family val="2"/>
      </rPr>
      <t xml:space="preserve"> เพิ่ม 1 licence รวมเป็น 4 licence (ศอก. 2, ศสป. 1, ศปภ. 1)</t>
    </r>
  </si>
  <si>
    <r>
      <rPr>
        <b/>
        <sz val="8"/>
        <color rgb="FFFFC000"/>
        <rFont val="Arial"/>
        <family val="2"/>
      </rPr>
      <t xml:space="preserve">  ดน.# </t>
    </r>
    <r>
      <rPr>
        <b/>
        <sz val="8"/>
        <rFont val="Arial"/>
        <family val="2"/>
      </rPr>
      <t>4. ตั้งเท่าปีก่อน /เพียงพอใช้</t>
    </r>
  </si>
  <si>
    <r>
      <rPr>
        <b/>
        <sz val="8"/>
        <color rgb="FFFFC000"/>
        <rFont val="Arial"/>
        <family val="2"/>
      </rPr>
      <t xml:space="preserve">  ดน.#</t>
    </r>
    <r>
      <rPr>
        <b/>
        <sz val="8"/>
        <color theme="9" tint="-0.249977111117893"/>
        <rFont val="Arial"/>
        <family val="2"/>
      </rPr>
      <t xml:space="preserve"> 3.โยกย้ายมากขึ้น เมื่อหลักเกณฑ์ท้องถิ่นออกปีแรก</t>
    </r>
  </si>
  <si>
    <r>
      <rPr>
        <b/>
        <sz val="8"/>
        <color rgb="FFFFC000"/>
        <rFont val="Arial"/>
        <family val="2"/>
      </rPr>
      <t xml:space="preserve">  ดน.#  </t>
    </r>
    <r>
      <rPr>
        <b/>
        <sz val="8"/>
        <color rgb="FF0000FF"/>
        <rFont val="Arial"/>
        <family val="2"/>
      </rPr>
      <t>2.ศอก./ศปภ. ใช้คนตรวจน้อยลง / ทริป ผอ. ลดลง</t>
    </r>
  </si>
  <si>
    <r>
      <rPr>
        <b/>
        <sz val="8"/>
        <color rgb="FFFFC000"/>
        <rFont val="Arial"/>
        <family val="2"/>
      </rPr>
      <t xml:space="preserve">  ดน.#</t>
    </r>
    <r>
      <rPr>
        <b/>
        <sz val="8"/>
        <color theme="9" tint="-0.249977111117893"/>
        <rFont val="Arial"/>
        <family val="2"/>
      </rPr>
      <t xml:space="preserve">  1.มีกลุ่มคนประจำต่างสำนักงานมากขึ้น</t>
    </r>
  </si>
  <si>
    <r>
      <rPr>
        <b/>
        <sz val="8"/>
        <color rgb="FFFFD44B"/>
        <rFont val="Arial"/>
        <family val="2"/>
      </rPr>
      <t xml:space="preserve">ทำของ# </t>
    </r>
    <r>
      <rPr>
        <b/>
        <sz val="8"/>
        <color theme="9" tint="-0.249977111117893"/>
        <rFont val="Arial"/>
        <family val="2"/>
      </rPr>
      <t>1. ตั้งสำรองกรณีฉุกเฉินเพิ่ม เช่น ราคาปรับตัวเพิ่มมาก มีค่าตรวจสอบใหม่</t>
    </r>
  </si>
  <si>
    <r>
      <t>ระบบกล้อง CCTV ติดรถยนต์ แบบ IP Camera System (</t>
    </r>
    <r>
      <rPr>
        <sz val="8"/>
        <rFont val="Arial"/>
        <family val="2"/>
      </rPr>
      <t>กล้องหน้ารถขนส่ง)</t>
    </r>
  </si>
  <si>
    <t xml:space="preserve">เครื่องอ่านบัตร (Access Card Reader)
บัตรเข้า-ออกส่วนงาน) </t>
  </si>
  <si>
    <t>ถังจ่ายอากาศ SCBA</t>
  </si>
  <si>
    <t>คำขอปี 2571 - สิ้นสุดแผนงาน</t>
  </si>
  <si>
    <t>ตั้งแต่ปี 69 เป็นต้นมา ฝยบ. แจ้งจำนวนงบให้ส่วนงานตั้ง</t>
  </si>
  <si>
    <r>
      <rPr>
        <b/>
        <sz val="8"/>
        <color rgb="FFFFC000"/>
        <rFont val="Arial"/>
        <family val="2"/>
      </rPr>
      <t xml:space="preserve">ESG#  </t>
    </r>
    <r>
      <rPr>
        <b/>
        <sz val="8"/>
        <color theme="9" tint="-0.249977111117893"/>
        <rFont val="Arial"/>
        <family val="2"/>
      </rPr>
      <t>มีรายการเพิ่มขึ้นอย่างมีนัยสำคัญดังนี้
 -เพิ่มวัสดุเกี่ยวกับการระงับเหตุ EV ประมาณ 400,000.-
 -อุปกรณ์ห้องบัตร ประมาณ 370,000.- 
- อุปกรณ์เพื่อยกประสิทธิภาพระงับเหตุ ประมาณ 150,000.-
- ถังดับเพลิง ประมาณ 800,000 บาท</t>
    </r>
  </si>
  <si>
    <t>ปี 71</t>
  </si>
  <si>
    <t>ปี72</t>
  </si>
  <si>
    <t>ปี73</t>
  </si>
  <si>
    <t>ฝทส. แจ้งไม่ต้องตั้งผูกฟัน</t>
  </si>
  <si>
    <t>ระบบตรวจจับการบุกรุก (Beam Detector)-30 เมตร</t>
  </si>
  <si>
    <t>ระบบตรวจจับการบุกรุก (Beam Detector)-60 เมตร</t>
  </si>
  <si>
    <t>ระบบตรวจจับการบุกรุก (Beam Detector)-90 เมตร</t>
  </si>
  <si>
    <t xml:space="preserve"> -ปี 70  ตั้งงบตามที่่ ฝยบ.แจ้ง ฝรภ.
 -ตั้งแต่ปี 69 เป็นต้นมา ฝยบ. แจ้งจำนวนงบให้ส่วนงานตั้ง</t>
  </si>
  <si>
    <t>เพื่อใช้ในการเสริมประสิทธิภาพการเฝ้าระวังและแจ้งเตือนเหตุเพลิงไหม้ในพื้นที่จอดรถใต้ดินอาคาร 1 ติดตั้งตามพื้นที่และระดับความเสี่ยงของ ธปท. เพื่อให้ ฝรภ.สามารถลดระยะเวลาในการเข้าระงับเหตุเพลิงไหม้จากรถไฟฟ้าหรือรถที่มี battery high volt</t>
  </si>
  <si>
    <t>ลดลงทั้ง 2 สัญญาดังนี้</t>
  </si>
  <si>
    <t xml:space="preserve">1. -ปี 70 = สัญญาใหม่ เฉพาะ สนญ. 
    -ปี 69 =สัญญารวมทั้ง สนญ. + สนภ. 3 แห่ง </t>
  </si>
  <si>
    <t>2. -ปี 70 = เพิ่มสัญญาใหม่ต่อเนื่องจากปีปัจจุบัน (สิ้นสุดปี 72) 
    -ปี 69 =สัญญาปัจจุบัน (สิ้นสุดปี 70)</t>
  </si>
  <si>
    <t xml:space="preserve">2. กลุ่ม 2-4 ลดลงเนื่องจาก 
    -กลุ่ม 2, 4 เป็นราคาราคาตามสัญญาซึ่งถูกกว่าราคากลางปี 69
    -กลุ่ม 3 ราคาสัญญาหลัง stop gap สืบใหม่เริ่มสัญญาปี 70 
    ใช้ราคาสัญญา บ.ขอนแก่น +3% </t>
  </si>
  <si>
    <r>
      <rPr>
        <b/>
        <sz val="8"/>
        <color rgb="FFFFC000"/>
        <rFont val="Arial"/>
        <family val="2"/>
      </rPr>
      <t xml:space="preserve">ESG#  </t>
    </r>
    <r>
      <rPr>
        <b/>
        <sz val="8"/>
        <color theme="9" tint="-0.249977111117893"/>
        <rFont val="Arial"/>
        <family val="2"/>
      </rPr>
      <t>มีรายการเพิ่มขึ้นอย่างมีนัยสำคัญดังนี้
 -เพิ่มวัสดุเกี่ยวกับการระงับเหตุ EV ประมาณ 400,000.-
 -อุปกรณ์ห้องบัตร ประมาณ 370,000.- 
- อุปกรณ์เพื่อยกประสิทธิภาพระงับเหตุ ประมาณ 150,000.-
- ถังดับเพลิง ประมาณ 700,000 บาท</t>
    </r>
  </si>
  <si>
    <t xml:space="preserve">ปี 69 Access Control System รายการเดียวราคาสูงถึง = 13.4 ล้านบาท </t>
  </si>
  <si>
    <t>เพิ่มจาก ค่าเสื้อผ้าฯ + ค่าจ้างสัญญาใหม่กลุ่ม 1 เริ่ม 1 พ.ค.70 + 
งบวัสดุเกี่ยวกับระงับเหตุ เป็นสำคัญ</t>
  </si>
  <si>
    <t>เพิ่มจากหมวดค่าใช้จ่ายเป็นสำคัญ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</si>
</sst>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87" formatCode="_(* #,##0.00_);_(* \(#,##0.00\);_(* &quot;-&quot;??_);_(@_)"/>
    <numFmt numFmtId="188" formatCode="_(* #,##0_);_(* \(#,##0\);_(* &quot;-&quot;??_);_(@_)"/>
    <numFmt numFmtId="189" formatCode="#,##0.0%;[Red]\-#,##0.0%"/>
    <numFmt numFmtId="190" formatCode="[$-10409]#,##0.00"/>
    <numFmt numFmtId="191" formatCode="0.0%"/>
    <numFmt numFmtId="192" formatCode="_-* #,##0_-;\-* #,##0_-;_-* &quot;-&quot;??_-;_-@_-"/>
    <numFmt numFmtId="193" formatCode="[$-10409]#,##0"/>
    <numFmt numFmtId="194" formatCode="#,##0_ ;[Red]\-#,##0\ "/>
    <numFmt numFmtId="195" formatCode="0.000%;\-0.000%;\-"/>
    <numFmt numFmtId="196" formatCode="0.0%;\-0.0%;\-"/>
    <numFmt numFmtId="197" formatCode="0.00%;\-0.00%;\-"/>
  </numFmts>
  <fonts count="94" x14ac:knownFonts="1">
    <font>
      <sz val="11"/>
      <color theme="1"/>
      <name val="Tahoma"/>
      <family val="2"/>
      <charset val="222"/>
      <scheme val="minor"/>
    </font>
    <font>
      <sz val="10"/>
      <name val="Arial"/>
      <family val="2"/>
    </font>
    <font>
      <b/>
      <sz val="10"/>
      <color theme="1"/>
      <name val="Arial"/>
      <family val="2"/>
    </font>
    <font>
      <sz val="10"/>
      <color theme="1"/>
      <name val="Arial"/>
      <family val="2"/>
    </font>
    <font>
      <sz val="8"/>
      <color theme="1"/>
      <name val="Arial"/>
      <family val="2"/>
    </font>
    <font>
      <b/>
      <sz val="8"/>
      <name val="Arial"/>
      <family val="2"/>
    </font>
    <font>
      <b/>
      <sz val="8"/>
      <color rgb="FFFF0000"/>
      <name val="Arial"/>
      <family val="2"/>
    </font>
    <font>
      <b/>
      <sz val="8"/>
      <color indexed="8"/>
      <name val="Arial"/>
      <family val="2"/>
    </font>
    <font>
      <b/>
      <sz val="8"/>
      <color theme="1"/>
      <name val="Arial"/>
      <family val="2"/>
    </font>
    <font>
      <b/>
      <sz val="8"/>
      <color rgb="FF0000FF"/>
      <name val="Arial"/>
      <family val="2"/>
    </font>
    <font>
      <u/>
      <sz val="10"/>
      <color theme="10"/>
      <name val="Arial"/>
      <family val="2"/>
    </font>
    <font>
      <b/>
      <sz val="8"/>
      <name val="Arial"/>
      <family val="2"/>
      <charset val="222"/>
    </font>
    <font>
      <sz val="10"/>
      <name val="Arial"/>
      <family val="2"/>
    </font>
    <font>
      <b/>
      <sz val="8"/>
      <color indexed="62"/>
      <name val="Arial"/>
      <family val="2"/>
    </font>
    <font>
      <sz val="8"/>
      <color rgb="FFFF0000"/>
      <name val="Arial"/>
      <family val="2"/>
    </font>
    <font>
      <sz val="8"/>
      <name val="Tahoma"/>
      <family val="2"/>
      <charset val="222"/>
      <scheme val="minor"/>
    </font>
    <font>
      <b/>
      <sz val="11"/>
      <color rgb="FF0000FF"/>
      <name val="Arial"/>
      <family val="2"/>
    </font>
    <font>
      <u/>
      <sz val="11"/>
      <color theme="10"/>
      <name val="Tahoma"/>
      <family val="2"/>
      <charset val="222"/>
      <scheme val="minor"/>
    </font>
    <font>
      <sz val="11"/>
      <color theme="1"/>
      <name val="Tahoma"/>
      <family val="2"/>
      <charset val="222"/>
      <scheme val="minor"/>
    </font>
    <font>
      <b/>
      <sz val="10"/>
      <color rgb="FF0000FF"/>
      <name val="Arial"/>
      <family val="2"/>
    </font>
    <font>
      <sz val="11"/>
      <color rgb="FF0000FF"/>
      <name val="Tahoma"/>
      <family val="2"/>
      <charset val="222"/>
      <scheme val="minor"/>
    </font>
    <font>
      <b/>
      <sz val="10"/>
      <name val="Arial"/>
      <family val="2"/>
    </font>
    <font>
      <sz val="11"/>
      <name val="Tahoma"/>
      <family val="2"/>
      <charset val="222"/>
      <scheme val="minor"/>
    </font>
    <font>
      <b/>
      <sz val="10"/>
      <name val="Arial"/>
      <family val="2"/>
      <charset val="222"/>
    </font>
    <font>
      <b/>
      <sz val="11"/>
      <name val="Tahoma"/>
      <family val="2"/>
      <charset val="222"/>
      <scheme val="minor"/>
    </font>
    <font>
      <b/>
      <sz val="16"/>
      <color rgb="FF0070C0"/>
      <name val="TH Sarabun New"/>
      <family val="2"/>
    </font>
    <font>
      <b/>
      <sz val="16"/>
      <color indexed="30"/>
      <name val="TH Sarabun New"/>
      <family val="2"/>
    </font>
    <font>
      <sz val="12"/>
      <color rgb="FF00B050"/>
      <name val="TH Sarabun New"/>
      <family val="2"/>
    </font>
    <font>
      <sz val="12"/>
      <name val="TH Sarabun New"/>
      <family val="2"/>
    </font>
    <font>
      <b/>
      <sz val="12"/>
      <color indexed="8"/>
      <name val="TH Sarabun New"/>
      <family val="2"/>
    </font>
    <font>
      <sz val="12"/>
      <color theme="1"/>
      <name val="TH Sarabun New"/>
      <family val="2"/>
    </font>
    <font>
      <b/>
      <sz val="12"/>
      <color rgb="FF00B050"/>
      <name val="TH Sarabun New"/>
      <family val="2"/>
    </font>
    <font>
      <b/>
      <sz val="12"/>
      <color indexed="10"/>
      <name val="TH Sarabun New"/>
      <family val="2"/>
    </font>
    <font>
      <b/>
      <sz val="11"/>
      <color indexed="10"/>
      <name val="TH Sarabun New"/>
      <family val="2"/>
    </font>
    <font>
      <b/>
      <sz val="14"/>
      <color indexed="10"/>
      <name val="TH Sarabun New"/>
      <family val="2"/>
    </font>
    <font>
      <b/>
      <sz val="14"/>
      <color indexed="53"/>
      <name val="TH Sarabun New"/>
      <family val="2"/>
    </font>
    <font>
      <b/>
      <sz val="12"/>
      <color theme="1"/>
      <name val="TH Sarabun New"/>
      <family val="2"/>
    </font>
    <font>
      <b/>
      <sz val="12"/>
      <name val="TH Sarabun New"/>
      <family val="2"/>
    </font>
    <font>
      <b/>
      <sz val="12"/>
      <color indexed="30"/>
      <name val="TH Sarabun New"/>
      <family val="2"/>
    </font>
    <font>
      <b/>
      <sz val="12"/>
      <color indexed="53"/>
      <name val="TH Sarabun New"/>
      <family val="2"/>
    </font>
    <font>
      <b/>
      <sz val="12"/>
      <color rgb="FFFF0000"/>
      <name val="TH Sarabun New"/>
      <family val="2"/>
    </font>
    <font>
      <b/>
      <sz val="12"/>
      <color rgb="FF0070C0"/>
      <name val="TH Sarabun New"/>
      <family val="2"/>
    </font>
    <font>
      <sz val="12"/>
      <color rgb="FF0070C0"/>
      <name val="TH Sarabun New"/>
      <family val="2"/>
    </font>
    <font>
      <sz val="12"/>
      <color rgb="FFFF0000"/>
      <name val="TH Sarabun New"/>
      <family val="2"/>
    </font>
    <font>
      <b/>
      <sz val="12"/>
      <color rgb="FF00B0F0"/>
      <name val="TH Sarabun New"/>
      <family val="2"/>
    </font>
    <font>
      <b/>
      <sz val="12"/>
      <color theme="8" tint="0.39997558519241921"/>
      <name val="TH Sarabun New"/>
      <family val="2"/>
    </font>
    <font>
      <b/>
      <sz val="16"/>
      <color rgb="FF0033CC"/>
      <name val="TH Sarabun New"/>
      <family val="2"/>
    </font>
    <font>
      <b/>
      <sz val="14"/>
      <color theme="1"/>
      <name val="TH Sarabun New"/>
      <family val="2"/>
    </font>
    <font>
      <b/>
      <sz val="14"/>
      <color indexed="8"/>
      <name val="TH Sarabun New"/>
      <family val="2"/>
    </font>
    <font>
      <sz val="6"/>
      <color rgb="FFFF0000"/>
      <name val="TH Sarabun New"/>
      <family val="2"/>
    </font>
    <font>
      <sz val="12"/>
      <color theme="5" tint="-0.249977111117893"/>
      <name val="TH Sarabun New"/>
      <family val="2"/>
    </font>
    <font>
      <b/>
      <sz val="6"/>
      <color rgb="FFFF0000"/>
      <name val="TH Sarabun New"/>
      <family val="2"/>
    </font>
    <font>
      <b/>
      <sz val="11"/>
      <name val="TH Sarabun New"/>
      <family val="2"/>
    </font>
    <font>
      <b/>
      <sz val="14"/>
      <name val="TH Sarabun New"/>
      <family val="2"/>
    </font>
    <font>
      <u/>
      <sz val="6"/>
      <color theme="10"/>
      <name val="Tahoma"/>
      <family val="2"/>
      <charset val="222"/>
      <scheme val="minor"/>
    </font>
    <font>
      <b/>
      <sz val="12"/>
      <color rgb="FFC00000"/>
      <name val="TH Sarabun New"/>
      <family val="2"/>
    </font>
    <font>
      <sz val="12"/>
      <color rgb="FFC00000"/>
      <name val="TH Sarabun New"/>
      <family val="2"/>
    </font>
    <font>
      <b/>
      <i/>
      <sz val="12"/>
      <color theme="1" tint="0.499984740745262"/>
      <name val="TH Sarabun New"/>
      <family val="2"/>
    </font>
    <font>
      <b/>
      <sz val="12"/>
      <color theme="1" tint="0.499984740745262"/>
      <name val="TH Sarabun New"/>
      <family val="2"/>
    </font>
    <font>
      <b/>
      <i/>
      <sz val="12"/>
      <color rgb="FF0070C0"/>
      <name val="TH Sarabun New"/>
      <family val="2"/>
    </font>
    <font>
      <sz val="12"/>
      <color indexed="60"/>
      <name val="TH Sarabun New"/>
      <family val="2"/>
    </font>
    <font>
      <b/>
      <sz val="8"/>
      <color rgb="FF0070C0"/>
      <name val="TH Sarabun New"/>
      <family val="2"/>
    </font>
    <font>
      <b/>
      <i/>
      <sz val="12"/>
      <name val="TH Sarabun New"/>
      <family val="2"/>
    </font>
    <font>
      <b/>
      <sz val="12"/>
      <color theme="5" tint="-0.249977111117893"/>
      <name val="TH Sarabun New"/>
      <family val="2"/>
    </font>
    <font>
      <b/>
      <sz val="9"/>
      <color indexed="81"/>
      <name val="Tahoma"/>
      <family val="2"/>
    </font>
    <font>
      <sz val="9"/>
      <color indexed="81"/>
      <name val="Tahoma"/>
      <family val="2"/>
    </font>
    <font>
      <b/>
      <strike/>
      <sz val="12"/>
      <color theme="7" tint="-0.249977111117893"/>
      <name val="TH Sarabun New"/>
      <family val="2"/>
    </font>
    <font>
      <strike/>
      <sz val="12"/>
      <color theme="7" tint="-0.499984740745262"/>
      <name val="TH Sarabun New"/>
      <family val="2"/>
    </font>
    <font>
      <b/>
      <strike/>
      <sz val="12"/>
      <color theme="7" tint="-0.499984740745262"/>
      <name val="TH Sarabun New"/>
      <family val="2"/>
    </font>
    <font>
      <sz val="12"/>
      <color theme="7" tint="-0.499984740745262"/>
      <name val="TH Sarabun New"/>
      <family val="2"/>
    </font>
    <font>
      <sz val="12"/>
      <color rgb="FF7030A0"/>
      <name val="TH Sarabun New"/>
      <family val="2"/>
    </font>
    <font>
      <b/>
      <sz val="11.95"/>
      <name val="Browallia New"/>
      <family val="2"/>
      <charset val="222"/>
    </font>
    <font>
      <b/>
      <sz val="11.95"/>
      <name val="Browallia New"/>
      <family val="2"/>
    </font>
    <font>
      <sz val="10"/>
      <name val="Arial"/>
      <family val="2"/>
      <charset val="222"/>
    </font>
    <font>
      <b/>
      <sz val="14"/>
      <name val="Browallia New"/>
      <family val="2"/>
      <charset val="222"/>
    </font>
    <font>
      <b/>
      <sz val="11.95"/>
      <color indexed="8"/>
      <name val="Browallia New"/>
      <family val="2"/>
    </font>
    <font>
      <b/>
      <sz val="11.95"/>
      <color indexed="16"/>
      <name val="Browallia New"/>
      <family val="2"/>
    </font>
    <font>
      <b/>
      <sz val="11.95"/>
      <color indexed="17"/>
      <name val="Browallia New"/>
      <family val="2"/>
    </font>
    <font>
      <sz val="8"/>
      <name val="Arial"/>
      <family val="2"/>
    </font>
    <font>
      <b/>
      <sz val="12"/>
      <color theme="7" tint="-0.499984740745262"/>
      <name val="TH Sarabun New"/>
      <family val="2"/>
    </font>
    <font>
      <b/>
      <sz val="8"/>
      <color rgb="FFFF0000"/>
      <name val="Arial"/>
      <family val="2"/>
      <charset val="222"/>
    </font>
    <font>
      <b/>
      <sz val="9"/>
      <name val="Arial"/>
      <family val="2"/>
    </font>
    <font>
      <sz val="9"/>
      <name val="Tahoma"/>
      <family val="2"/>
      <charset val="222"/>
      <scheme val="minor"/>
    </font>
    <font>
      <b/>
      <sz val="8"/>
      <color rgb="FFC00000"/>
      <name val="Arial"/>
      <family val="2"/>
    </font>
    <font>
      <b/>
      <sz val="8"/>
      <color theme="9" tint="-0.249977111117893"/>
      <name val="Arial"/>
      <family val="2"/>
    </font>
    <font>
      <b/>
      <sz val="11"/>
      <color rgb="FFC00000"/>
      <name val="Arial"/>
      <family val="2"/>
    </font>
    <font>
      <b/>
      <sz val="11"/>
      <color theme="9" tint="-0.249977111117893"/>
      <name val="Arial"/>
      <family val="2"/>
    </font>
    <font>
      <b/>
      <sz val="9"/>
      <color rgb="FF0000FF"/>
      <name val="Arial"/>
      <family val="2"/>
    </font>
    <font>
      <b/>
      <sz val="8"/>
      <color rgb="FFC00000"/>
      <name val="Arial"/>
      <family val="2"/>
      <charset val="222"/>
    </font>
    <font>
      <b/>
      <u/>
      <sz val="8"/>
      <color theme="10"/>
      <name val="Tahoma"/>
      <family val="2"/>
      <charset val="222"/>
      <scheme val="minor"/>
    </font>
    <font>
      <u/>
      <sz val="8"/>
      <color theme="10"/>
      <name val="Arial"/>
      <family val="2"/>
    </font>
    <font>
      <b/>
      <sz val="8"/>
      <color rgb="FFFFC000"/>
      <name val="Arial"/>
      <family val="2"/>
    </font>
    <font>
      <b/>
      <sz val="8"/>
      <color rgb="FFFFD44B"/>
      <name val="Arial"/>
      <family val="2"/>
    </font>
    <font>
      <b/>
      <sz val="8"/>
      <color rgb="FFC00000"/>
      <name val="Arial"/>
    </font>
  </fonts>
  <fills count="40">
    <fill>
      <patternFill patternType="none"/>
    </fill>
    <fill>
      <patternFill patternType="gray125"/>
    </fill>
    <fill>
      <patternFill patternType="solid">
        <fgColor theme="9" tint="0.59999389629810485"/>
        <bgColor indexed="0"/>
      </patternFill>
    </fill>
    <fill>
      <patternFill patternType="solid">
        <fgColor theme="9" tint="0.59999389629810485"/>
        <bgColor indexed="64"/>
      </patternFill>
    </fill>
    <fill>
      <patternFill patternType="solid">
        <fgColor theme="0"/>
        <bgColor indexed="64"/>
      </patternFill>
    </fill>
    <fill>
      <patternFill patternType="solid">
        <fgColor them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79998168889431442"/>
        <bgColor indexed="0"/>
      </patternFill>
    </fill>
    <fill>
      <patternFill patternType="solid">
        <fgColor theme="7" tint="0.59999389629810485"/>
        <bgColor indexed="0"/>
      </patternFill>
    </fill>
    <fill>
      <patternFill patternType="solid">
        <fgColor theme="7" tint="0.79998168889431442"/>
        <bgColor indexed="0"/>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indexed="9"/>
        <bgColor indexed="0"/>
      </patternFill>
    </fill>
    <fill>
      <patternFill patternType="solid">
        <fgColor indexed="11"/>
        <bgColor indexed="0"/>
      </patternFill>
    </fill>
    <fill>
      <patternFill patternType="solid">
        <fgColor theme="8" tint="0.59999389629810485"/>
        <bgColor indexed="0"/>
      </patternFill>
    </fill>
    <fill>
      <patternFill patternType="solid">
        <fgColor theme="9" tint="0.39997558519241921"/>
        <bgColor indexed="0"/>
      </patternFill>
    </fill>
    <fill>
      <patternFill patternType="solid">
        <fgColor theme="5" tint="0.39997558519241921"/>
        <bgColor indexed="0"/>
      </patternFill>
    </fill>
    <fill>
      <patternFill patternType="solid">
        <fgColor theme="4" tint="0.39997558519241921"/>
        <bgColor indexed="0"/>
      </patternFill>
    </fill>
    <fill>
      <patternFill patternType="solid">
        <fgColor theme="4" tint="0.39997558519241921"/>
        <bgColor indexed="64"/>
      </patternFill>
    </fill>
    <fill>
      <patternFill patternType="solid">
        <fgColor theme="4" tint="0.59999389629810485"/>
        <bgColor indexed="0"/>
      </patternFill>
    </fill>
    <fill>
      <patternFill patternType="solid">
        <fgColor theme="7" tint="0.59999389629810485"/>
        <bgColor indexed="64"/>
      </patternFill>
    </fill>
    <fill>
      <patternFill patternType="solid">
        <fgColor theme="4" tint="0.79998168889431442"/>
        <bgColor indexed="0"/>
      </patternFill>
    </fill>
    <fill>
      <patternFill patternType="solid">
        <fgColor theme="4" tint="0.7999816888943144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tint="0.59999389629810485"/>
        <bgColor indexed="64"/>
      </patternFill>
    </fill>
    <fill>
      <patternFill patternType="solid">
        <fgColor theme="2" tint="-9.9978637043366805E-2"/>
        <bgColor indexed="0"/>
      </patternFill>
    </fill>
    <fill>
      <patternFill patternType="solid">
        <fgColor theme="3" tint="0.749992370372631"/>
        <bgColor indexed="0"/>
      </patternFill>
    </fill>
    <fill>
      <patternFill patternType="solid">
        <fgColor theme="3" tint="0.89999084444715716"/>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3" tint="0.89999084444715716"/>
        <bgColor indexed="0"/>
      </patternFill>
    </fill>
    <fill>
      <patternFill patternType="solid">
        <fgColor indexed="13"/>
        <bgColor indexed="0"/>
      </patternFill>
    </fill>
    <fill>
      <patternFill patternType="solid">
        <fgColor indexed="15"/>
        <bgColor indexed="0"/>
      </patternFill>
    </fill>
    <fill>
      <patternFill patternType="solid">
        <fgColor theme="5" tint="0.59999389629810485"/>
        <bgColor indexed="64"/>
      </patternFill>
    </fill>
    <fill>
      <patternFill patternType="solid">
        <fgColor theme="2" tint="-9.9978637043366805E-2"/>
        <bgColor indexed="64"/>
      </patternFill>
    </fill>
  </fills>
  <borders count="98">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ck">
        <color rgb="FFC00000"/>
      </left>
      <right style="thin">
        <color indexed="64"/>
      </right>
      <top style="thin">
        <color indexed="64"/>
      </top>
      <bottom style="thin">
        <color indexed="64"/>
      </bottom>
      <diagonal/>
    </border>
    <border>
      <left/>
      <right style="thick">
        <color rgb="FFC00000"/>
      </right>
      <top style="thin">
        <color indexed="64"/>
      </top>
      <bottom style="thin">
        <color indexed="64"/>
      </bottom>
      <diagonal/>
    </border>
    <border>
      <left style="thin">
        <color indexed="8"/>
      </left>
      <right/>
      <top/>
      <bottom style="thin">
        <color indexed="8"/>
      </bottom>
      <diagonal/>
    </border>
    <border>
      <left/>
      <right/>
      <top/>
      <bottom style="thin">
        <color indexed="8"/>
      </bottom>
      <diagonal/>
    </border>
    <border>
      <left/>
      <right style="thin">
        <color indexed="64"/>
      </right>
      <top/>
      <bottom style="thin">
        <color indexed="8"/>
      </bottom>
      <diagonal/>
    </border>
    <border>
      <left style="thin">
        <color indexed="64"/>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rgb="FFC00000"/>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right style="thin">
        <color indexed="64"/>
      </right>
      <top style="thin">
        <color indexed="8"/>
      </top>
      <bottom style="thin">
        <color indexed="8"/>
      </bottom>
      <diagonal/>
    </border>
    <border>
      <left/>
      <right style="thick">
        <color rgb="FFC00000"/>
      </right>
      <top style="thin">
        <color indexed="8"/>
      </top>
      <bottom/>
      <diagonal/>
    </border>
    <border>
      <left/>
      <right style="thick">
        <color rgb="FFC00000"/>
      </right>
      <top/>
      <bottom style="thin">
        <color indexed="8"/>
      </bottom>
      <diagonal/>
    </border>
    <border>
      <left style="thin">
        <color indexed="64"/>
      </left>
      <right style="thick">
        <color rgb="FFC00000"/>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style="thin">
        <color indexed="8"/>
      </top>
      <bottom style="thin">
        <color indexed="64"/>
      </bottom>
      <diagonal/>
    </border>
    <border>
      <left/>
      <right/>
      <top style="thin">
        <color indexed="8"/>
      </top>
      <bottom style="thin">
        <color indexed="64"/>
      </bottom>
      <diagonal/>
    </border>
    <border>
      <left/>
      <right style="thin">
        <color indexed="8"/>
      </right>
      <top/>
      <bottom style="thin">
        <color indexed="8"/>
      </bottom>
      <diagonal/>
    </border>
    <border>
      <left/>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thin">
        <color indexed="8"/>
      </left>
      <right style="thin">
        <color indexed="64"/>
      </right>
      <top style="thin">
        <color indexed="64"/>
      </top>
      <bottom style="thin">
        <color indexed="8"/>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8"/>
      </top>
      <bottom/>
      <diagonal/>
    </border>
    <border>
      <left style="thin">
        <color indexed="8"/>
      </left>
      <right style="thin">
        <color indexed="64"/>
      </right>
      <top style="thin">
        <color indexed="8"/>
      </top>
      <bottom/>
      <diagonal/>
    </border>
    <border>
      <left/>
      <right style="thin">
        <color indexed="64"/>
      </right>
      <top/>
      <bottom style="thin">
        <color indexed="64"/>
      </bottom>
      <diagonal/>
    </border>
    <border>
      <left style="thin">
        <color indexed="8"/>
      </left>
      <right style="thin">
        <color indexed="64"/>
      </right>
      <top/>
      <bottom/>
      <diagonal/>
    </border>
    <border>
      <left style="thin">
        <color indexed="8"/>
      </left>
      <right style="thin">
        <color indexed="8"/>
      </right>
      <top/>
      <bottom/>
      <diagonal/>
    </border>
    <border>
      <left style="thin">
        <color indexed="8"/>
      </left>
      <right/>
      <top/>
      <bottom/>
      <diagonal/>
    </border>
    <border>
      <left style="thin">
        <color indexed="64"/>
      </left>
      <right style="thin">
        <color indexed="64"/>
      </right>
      <top style="thick">
        <color rgb="FFC00000"/>
      </top>
      <bottom style="thin">
        <color indexed="64"/>
      </bottom>
      <diagonal/>
    </border>
    <border>
      <left style="thin">
        <color indexed="64"/>
      </left>
      <right style="thick">
        <color rgb="FFC00000"/>
      </right>
      <top style="thick">
        <color rgb="FFC00000"/>
      </top>
      <bottom style="thin">
        <color indexed="64"/>
      </bottom>
      <diagonal/>
    </border>
    <border>
      <left style="thin">
        <color indexed="8"/>
      </left>
      <right/>
      <top style="thin">
        <color indexed="64"/>
      </top>
      <bottom style="thin">
        <color indexed="8"/>
      </bottom>
      <diagonal/>
    </border>
    <border>
      <left/>
      <right style="thin">
        <color indexed="64"/>
      </right>
      <top style="thin">
        <color indexed="64"/>
      </top>
      <bottom style="thin">
        <color indexed="8"/>
      </bottom>
      <diagonal/>
    </border>
    <border>
      <left style="thin">
        <color indexed="64"/>
      </left>
      <right/>
      <top/>
      <bottom style="thin">
        <color indexed="8"/>
      </bottom>
      <diagonal/>
    </border>
    <border>
      <left style="thin">
        <color indexed="8"/>
      </left>
      <right/>
      <top style="thin">
        <color indexed="64"/>
      </top>
      <bottom style="thin">
        <color indexed="64"/>
      </bottom>
      <diagonal/>
    </border>
    <border>
      <left style="thin">
        <color indexed="64"/>
      </left>
      <right/>
      <top style="thin">
        <color indexed="64"/>
      </top>
      <bottom style="thin">
        <color indexed="8"/>
      </bottom>
      <diagonal/>
    </border>
    <border>
      <left style="thick">
        <color rgb="FFC00000"/>
      </left>
      <right/>
      <top/>
      <bottom style="thin">
        <color indexed="64"/>
      </bottom>
      <diagonal/>
    </border>
    <border>
      <left style="thick">
        <color rgb="FFC00000"/>
      </left>
      <right/>
      <top style="thin">
        <color indexed="8"/>
      </top>
      <bottom style="thin">
        <color indexed="8"/>
      </bottom>
      <diagonal/>
    </border>
    <border>
      <left style="thick">
        <color rgb="FFC00000"/>
      </left>
      <right/>
      <top style="thin">
        <color indexed="64"/>
      </top>
      <bottom/>
      <diagonal/>
    </border>
    <border>
      <left style="thick">
        <color rgb="FFC00000"/>
      </left>
      <right/>
      <top/>
      <bottom style="thin">
        <color indexed="8"/>
      </bottom>
      <diagonal/>
    </border>
    <border>
      <left style="thick">
        <color rgb="FFC00000"/>
      </left>
      <right/>
      <top style="thin">
        <color indexed="64"/>
      </top>
      <bottom style="thin">
        <color indexed="64"/>
      </bottom>
      <diagonal/>
    </border>
    <border>
      <left style="thick">
        <color rgb="FFFF0000"/>
      </left>
      <right style="thick">
        <color rgb="FFFF0000"/>
      </right>
      <top style="thick">
        <color rgb="FFFF0000"/>
      </top>
      <bottom/>
      <diagonal/>
    </border>
    <border>
      <left/>
      <right/>
      <top style="thin">
        <color indexed="64"/>
      </top>
      <bottom style="thin">
        <color indexed="8"/>
      </bottom>
      <diagonal/>
    </border>
    <border>
      <left style="thick">
        <color rgb="FFFF0000"/>
      </left>
      <right style="thick">
        <color rgb="FFFF0000"/>
      </right>
      <top/>
      <bottom/>
      <diagonal/>
    </border>
    <border>
      <left style="thin">
        <color indexed="64"/>
      </left>
      <right style="thin">
        <color indexed="8"/>
      </right>
      <top style="thin">
        <color indexed="8"/>
      </top>
      <bottom style="thin">
        <color indexed="8"/>
      </bottom>
      <diagonal/>
    </border>
    <border>
      <left style="thick">
        <color rgb="FFFF0000"/>
      </left>
      <right style="thick">
        <color rgb="FFFF0000"/>
      </right>
      <top/>
      <bottom style="thick">
        <color rgb="FFFF0000"/>
      </bottom>
      <diagonal/>
    </border>
    <border>
      <left style="thin">
        <color indexed="64"/>
      </left>
      <right style="thin">
        <color indexed="8"/>
      </right>
      <top style="thin">
        <color indexed="8"/>
      </top>
      <bottom style="thin">
        <color indexed="64"/>
      </bottom>
      <diagonal/>
    </border>
    <border>
      <left style="thin">
        <color indexed="8"/>
      </left>
      <right style="thin">
        <color indexed="64"/>
      </right>
      <top/>
      <bottom style="thin">
        <color indexed="64"/>
      </bottom>
      <diagonal/>
    </border>
    <border>
      <left/>
      <right style="thin">
        <color indexed="8"/>
      </right>
      <top style="thin">
        <color indexed="8"/>
      </top>
      <bottom style="thin">
        <color indexed="64"/>
      </bottom>
      <diagonal/>
    </border>
    <border>
      <left/>
      <right style="thin">
        <color indexed="8"/>
      </right>
      <top style="thin">
        <color indexed="64"/>
      </top>
      <bottom style="thin">
        <color indexed="8"/>
      </bottom>
      <diagonal/>
    </border>
    <border>
      <left/>
      <right style="thin">
        <color indexed="8"/>
      </right>
      <top style="thin">
        <color indexed="64"/>
      </top>
      <bottom/>
      <diagonal/>
    </border>
    <border>
      <left/>
      <right style="thin">
        <color indexed="8"/>
      </right>
      <top/>
      <bottom/>
      <diagonal/>
    </border>
    <border>
      <left style="thin">
        <color indexed="8"/>
      </left>
      <right style="thin">
        <color indexed="64"/>
      </right>
      <top style="thin">
        <color indexed="64"/>
      </top>
      <bottom/>
      <diagonal/>
    </border>
    <border>
      <left style="thin">
        <color indexed="64"/>
      </left>
      <right style="thin">
        <color indexed="64"/>
      </right>
      <top/>
      <bottom/>
      <diagonal/>
    </border>
    <border>
      <left style="thin">
        <color indexed="8"/>
      </left>
      <right style="thin">
        <color indexed="64"/>
      </right>
      <top style="thin">
        <color indexed="64"/>
      </top>
      <bottom style="thin">
        <color indexed="64"/>
      </bottom>
      <diagonal/>
    </border>
    <border>
      <left style="thin">
        <color indexed="64"/>
      </left>
      <right style="thin">
        <color indexed="64"/>
      </right>
      <top style="thin">
        <color indexed="64"/>
      </top>
      <bottom style="thin">
        <color indexed="8"/>
      </bottom>
      <diagonal/>
    </border>
    <border>
      <left style="thin">
        <color indexed="64"/>
      </left>
      <right/>
      <top style="thin">
        <color indexed="8"/>
      </top>
      <bottom style="thin">
        <color indexed="8"/>
      </bottom>
      <diagonal/>
    </border>
    <border>
      <left style="thin">
        <color indexed="64"/>
      </left>
      <right style="thin">
        <color indexed="8"/>
      </right>
      <top style="thin">
        <color indexed="64"/>
      </top>
      <bottom/>
      <diagonal/>
    </border>
    <border>
      <left style="thin">
        <color indexed="64"/>
      </left>
      <right style="thin">
        <color indexed="8"/>
      </right>
      <top/>
      <bottom style="thin">
        <color indexed="8"/>
      </bottom>
      <diagonal/>
    </border>
    <border>
      <left style="thin">
        <color indexed="8"/>
      </left>
      <right style="thin">
        <color indexed="8"/>
      </right>
      <top style="thin">
        <color indexed="64"/>
      </top>
      <bottom/>
      <diagonal/>
    </border>
    <border>
      <left style="thick">
        <color rgb="FFC00000"/>
      </left>
      <right style="thin">
        <color indexed="64"/>
      </right>
      <top style="thick">
        <color rgb="FFC00000"/>
      </top>
      <bottom style="thin">
        <color indexed="64"/>
      </bottom>
      <diagonal/>
    </border>
    <border>
      <left style="thin">
        <color indexed="64"/>
      </left>
      <right style="thick">
        <color rgb="FFC00000"/>
      </right>
      <top style="thin">
        <color indexed="64"/>
      </top>
      <bottom/>
      <diagonal/>
    </border>
    <border>
      <left style="thin">
        <color indexed="64"/>
      </left>
      <right style="thick">
        <color rgb="FFC00000"/>
      </right>
      <top/>
      <bottom style="thin">
        <color indexed="64"/>
      </bottom>
      <diagonal/>
    </border>
    <border>
      <left style="thin">
        <color indexed="64"/>
      </left>
      <right style="thick">
        <color rgb="FFC00000"/>
      </right>
      <top style="thin">
        <color indexed="8"/>
      </top>
      <bottom/>
      <diagonal/>
    </border>
    <border>
      <left style="thin">
        <color indexed="64"/>
      </left>
      <right style="thick">
        <color rgb="FFC00000"/>
      </right>
      <top/>
      <bottom/>
      <diagonal/>
    </border>
    <border>
      <left style="thin">
        <color indexed="64"/>
      </left>
      <right style="thick">
        <color rgb="FFC00000"/>
      </right>
      <top/>
      <bottom style="thin">
        <color indexed="8"/>
      </bottom>
      <diagonal/>
    </border>
    <border>
      <left style="thin">
        <color indexed="64"/>
      </left>
      <right/>
      <top style="thin">
        <color indexed="8"/>
      </top>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diagonal/>
    </border>
    <border>
      <left style="thin">
        <color indexed="64"/>
      </left>
      <right style="thin">
        <color indexed="64"/>
      </right>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ck">
        <color rgb="FFC00000"/>
      </right>
      <top style="thin">
        <color indexed="8"/>
      </top>
      <bottom/>
      <diagonal/>
    </border>
    <border>
      <left style="thin">
        <color indexed="8"/>
      </left>
      <right style="thick">
        <color rgb="FFC00000"/>
      </right>
      <top/>
      <bottom style="thin">
        <color indexed="8"/>
      </bottom>
      <diagonal/>
    </border>
    <border>
      <left style="thick">
        <color rgb="FFC00000"/>
      </left>
      <right/>
      <top/>
      <bottom style="thick">
        <color rgb="FFC00000"/>
      </bottom>
      <diagonal/>
    </border>
    <border>
      <left style="thin">
        <color indexed="64"/>
      </left>
      <right style="thin">
        <color indexed="64"/>
      </right>
      <top style="thin">
        <color indexed="64"/>
      </top>
      <bottom style="thick">
        <color rgb="FFC00000"/>
      </bottom>
      <diagonal/>
    </border>
    <border>
      <left style="thin">
        <color indexed="64"/>
      </left>
      <right style="thin">
        <color indexed="64"/>
      </right>
      <top style="thin">
        <color indexed="8"/>
      </top>
      <bottom style="thick">
        <color rgb="FFC00000"/>
      </bottom>
      <diagonal/>
    </border>
    <border>
      <left/>
      <right style="thick">
        <color rgb="FFC00000"/>
      </right>
      <top/>
      <bottom style="thick">
        <color rgb="FFC00000"/>
      </bottom>
      <diagonal/>
    </border>
    <border>
      <left style="thin">
        <color indexed="64"/>
      </left>
      <right style="thick">
        <color rgb="FFC00000"/>
      </right>
      <top style="thin">
        <color indexed="8"/>
      </top>
      <bottom style="thin">
        <color indexed="64"/>
      </bottom>
      <diagonal/>
    </border>
    <border>
      <left style="thin">
        <color indexed="64"/>
      </left>
      <right/>
      <top style="thin">
        <color indexed="8"/>
      </top>
      <bottom style="thin">
        <color indexed="64"/>
      </bottom>
      <diagonal/>
    </border>
    <border>
      <left style="thin">
        <color indexed="64"/>
      </left>
      <right style="thin">
        <color indexed="64"/>
      </right>
      <top style="thin">
        <color indexed="8"/>
      </top>
      <bottom style="thin">
        <color indexed="64"/>
      </bottom>
      <diagonal/>
    </border>
    <border>
      <left/>
      <right style="thick">
        <color rgb="FFC00000"/>
      </right>
      <top style="thin">
        <color indexed="8"/>
      </top>
      <bottom style="thin">
        <color indexed="64"/>
      </bottom>
      <diagonal/>
    </border>
    <border>
      <left/>
      <right style="thick">
        <color rgb="FFC00000"/>
      </right>
      <top style="thin">
        <color indexed="64"/>
      </top>
      <bottom style="thin">
        <color indexed="8"/>
      </bottom>
      <diagonal/>
    </border>
    <border>
      <left style="thin">
        <color indexed="8"/>
      </left>
      <right style="thin">
        <color indexed="8"/>
      </right>
      <top style="thin">
        <color indexed="64"/>
      </top>
      <bottom style="thin">
        <color indexed="8"/>
      </bottom>
      <diagonal/>
    </border>
  </borders>
  <cellStyleXfs count="13">
    <xf numFmtId="0" fontId="0" fillId="0" borderId="0"/>
    <xf numFmtId="0" fontId="1" fillId="0" borderId="0"/>
    <xf numFmtId="187"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xf numFmtId="0" fontId="12" fillId="0" borderId="0"/>
    <xf numFmtId="0" fontId="17" fillId="0" borderId="0" applyNumberFormat="0" applyFill="0" applyBorder="0" applyAlignment="0" applyProtection="0"/>
    <xf numFmtId="43" fontId="18" fillId="0" borderId="0" applyFont="0" applyFill="0" applyBorder="0" applyAlignment="0" applyProtection="0"/>
    <xf numFmtId="9" fontId="18" fillId="0" borderId="0" applyFont="0" applyFill="0" applyBorder="0" applyAlignment="0" applyProtection="0"/>
    <xf numFmtId="0" fontId="18" fillId="0" borderId="0"/>
    <xf numFmtId="0" fontId="12" fillId="0" borderId="0"/>
    <xf numFmtId="187" fontId="12" fillId="0" borderId="0" applyFont="0" applyFill="0" applyBorder="0" applyAlignment="0" applyProtection="0"/>
    <xf numFmtId="0" fontId="1" fillId="0" borderId="0"/>
  </cellStyleXfs>
  <cellXfs count="885">
    <xf numFmtId="0" fontId="0" fillId="0" borderId="0" xfId="0"/>
    <xf numFmtId="0" fontId="2" fillId="0" borderId="0" xfId="1" applyFont="1" applyAlignment="1" applyProtection="1">
      <alignment horizontal="center" vertical="center" wrapText="1" readingOrder="1"/>
      <protection locked="0"/>
    </xf>
    <xf numFmtId="0" fontId="3" fillId="0" borderId="0" xfId="1" applyFont="1" applyAlignment="1">
      <alignment vertical="center"/>
    </xf>
    <xf numFmtId="0" fontId="3" fillId="0" borderId="0" xfId="1" applyFont="1"/>
    <xf numFmtId="0" fontId="4" fillId="0" borderId="0" xfId="1" applyFont="1"/>
    <xf numFmtId="0" fontId="4" fillId="0" borderId="0" xfId="1" applyFont="1" applyAlignment="1">
      <alignment vertical="center"/>
    </xf>
    <xf numFmtId="0" fontId="5" fillId="0" borderId="20" xfId="1" applyFont="1" applyBorder="1" applyAlignment="1" applyProtection="1">
      <alignment horizontal="center" vertical="center" wrapText="1" readingOrder="1"/>
      <protection locked="0"/>
    </xf>
    <xf numFmtId="188" fontId="5" fillId="0" borderId="17" xfId="2" applyNumberFormat="1" applyFont="1" applyFill="1" applyBorder="1" applyAlignment="1" applyProtection="1">
      <alignment horizontal="right" vertical="center" wrapText="1" readingOrder="1"/>
      <protection locked="0"/>
    </xf>
    <xf numFmtId="0" fontId="5" fillId="5" borderId="20" xfId="1" applyFont="1" applyFill="1" applyBorder="1" applyAlignment="1" applyProtection="1">
      <alignment horizontal="center" vertical="center" wrapText="1" readingOrder="1"/>
      <protection locked="0"/>
    </xf>
    <xf numFmtId="188" fontId="5" fillId="5" borderId="17" xfId="2" applyNumberFormat="1" applyFont="1" applyFill="1" applyBorder="1" applyAlignment="1" applyProtection="1">
      <alignment horizontal="right" vertical="center" wrapText="1" readingOrder="1"/>
      <protection locked="0"/>
    </xf>
    <xf numFmtId="0" fontId="5" fillId="0" borderId="6" xfId="1" applyFont="1" applyBorder="1" applyAlignment="1" applyProtection="1">
      <alignment horizontal="center" vertical="center" wrapText="1" readingOrder="1"/>
      <protection locked="0"/>
    </xf>
    <xf numFmtId="0" fontId="5" fillId="7" borderId="30" xfId="1" applyFont="1" applyFill="1" applyBorder="1" applyAlignment="1" applyProtection="1">
      <alignment horizontal="center" vertical="center" wrapText="1" readingOrder="1"/>
      <protection locked="0"/>
    </xf>
    <xf numFmtId="0" fontId="5" fillId="7" borderId="20" xfId="1" applyFont="1" applyFill="1" applyBorder="1" applyAlignment="1" applyProtection="1">
      <alignment horizontal="center" vertical="center" wrapText="1" readingOrder="1"/>
      <protection locked="0"/>
    </xf>
    <xf numFmtId="0" fontId="5" fillId="4" borderId="20" xfId="1" applyFont="1" applyFill="1" applyBorder="1" applyAlignment="1" applyProtection="1">
      <alignment horizontal="center" vertical="center" wrapText="1" readingOrder="1"/>
      <protection locked="0"/>
    </xf>
    <xf numFmtId="188" fontId="5" fillId="4" borderId="17" xfId="2" applyNumberFormat="1" applyFont="1" applyFill="1" applyBorder="1" applyAlignment="1" applyProtection="1">
      <alignment horizontal="right" vertical="center" wrapText="1" readingOrder="1"/>
      <protection locked="0"/>
    </xf>
    <xf numFmtId="0" fontId="14" fillId="0" borderId="0" xfId="1" applyFont="1" applyAlignment="1">
      <alignment vertical="center"/>
    </xf>
    <xf numFmtId="0" fontId="14" fillId="0" borderId="0" xfId="1" applyFont="1"/>
    <xf numFmtId="0" fontId="5" fillId="9" borderId="6" xfId="1" applyFont="1" applyFill="1" applyBorder="1" applyAlignment="1" applyProtection="1">
      <alignment horizontal="center" vertical="center" wrapText="1" readingOrder="1"/>
      <protection locked="0"/>
    </xf>
    <xf numFmtId="0" fontId="5" fillId="10" borderId="3" xfId="1" applyFont="1" applyFill="1" applyBorder="1" applyAlignment="1" applyProtection="1">
      <alignment horizontal="center" vertical="center" wrapText="1" readingOrder="1"/>
      <protection locked="0"/>
    </xf>
    <xf numFmtId="188" fontId="5" fillId="10" borderId="6" xfId="2" applyNumberFormat="1" applyFont="1" applyFill="1" applyBorder="1" applyAlignment="1" applyProtection="1">
      <alignment horizontal="center" vertical="center" wrapText="1" readingOrder="1"/>
      <protection locked="0"/>
    </xf>
    <xf numFmtId="0" fontId="7" fillId="5" borderId="3" xfId="1" applyFont="1" applyFill="1" applyBorder="1" applyAlignment="1" applyProtection="1">
      <alignment vertical="center" wrapText="1" readingOrder="1"/>
      <protection locked="0"/>
    </xf>
    <xf numFmtId="0" fontId="5" fillId="5" borderId="3" xfId="1" applyFont="1" applyFill="1" applyBorder="1" applyAlignment="1" applyProtection="1">
      <alignment vertical="center" wrapText="1" readingOrder="1"/>
      <protection locked="0"/>
    </xf>
    <xf numFmtId="0" fontId="6" fillId="0" borderId="20" xfId="1" applyFont="1" applyBorder="1" applyAlignment="1" applyProtection="1">
      <alignment horizontal="center" vertical="center" wrapText="1" readingOrder="1"/>
      <protection locked="0"/>
    </xf>
    <xf numFmtId="188" fontId="6" fillId="0" borderId="17" xfId="2" applyNumberFormat="1" applyFont="1" applyFill="1" applyBorder="1" applyAlignment="1" applyProtection="1">
      <alignment horizontal="center" vertical="center" wrapText="1" readingOrder="1"/>
      <protection locked="0"/>
    </xf>
    <xf numFmtId="0" fontId="6" fillId="0" borderId="33" xfId="1" applyFont="1" applyBorder="1" applyAlignment="1" applyProtection="1">
      <alignment horizontal="center" vertical="center" wrapText="1" readingOrder="1"/>
      <protection locked="0"/>
    </xf>
    <xf numFmtId="38" fontId="5" fillId="9" borderId="6" xfId="1" applyNumberFormat="1" applyFont="1" applyFill="1" applyBorder="1" applyAlignment="1" applyProtection="1">
      <alignment horizontal="center" vertical="center" wrapText="1" readingOrder="1"/>
      <protection locked="0"/>
    </xf>
    <xf numFmtId="188" fontId="9" fillId="9" borderId="11" xfId="2" applyNumberFormat="1" applyFont="1" applyFill="1" applyBorder="1" applyAlignment="1" applyProtection="1">
      <alignment horizontal="center" vertical="center" wrapText="1" readingOrder="1"/>
      <protection locked="0"/>
    </xf>
    <xf numFmtId="188" fontId="7" fillId="8" borderId="30" xfId="2" applyNumberFormat="1" applyFont="1" applyFill="1" applyBorder="1" applyAlignment="1" applyProtection="1">
      <alignment horizontal="right" vertical="center" wrapText="1" readingOrder="1"/>
      <protection locked="0"/>
    </xf>
    <xf numFmtId="0" fontId="5" fillId="5" borderId="40" xfId="1" applyFont="1" applyFill="1" applyBorder="1" applyAlignment="1" applyProtection="1">
      <alignment vertical="center" wrapText="1" readingOrder="1"/>
      <protection locked="0"/>
    </xf>
    <xf numFmtId="192" fontId="2" fillId="0" borderId="0" xfId="7" applyNumberFormat="1" applyFont="1" applyAlignment="1" applyProtection="1">
      <alignment horizontal="center" vertical="center" wrapText="1" readingOrder="1"/>
      <protection locked="0"/>
    </xf>
    <xf numFmtId="192" fontId="0" fillId="0" borderId="0" xfId="7" applyNumberFormat="1" applyFont="1"/>
    <xf numFmtId="0" fontId="19" fillId="0" borderId="0" xfId="1" applyFont="1" applyAlignment="1" applyProtection="1">
      <alignment horizontal="center" vertical="center" wrapText="1" readingOrder="1"/>
      <protection locked="0"/>
    </xf>
    <xf numFmtId="0" fontId="20" fillId="0" borderId="0" xfId="0" applyFont="1"/>
    <xf numFmtId="191" fontId="9" fillId="0" borderId="23" xfId="1" applyNumberFormat="1" applyFont="1" applyBorder="1" applyAlignment="1" applyProtection="1">
      <alignment vertical="center" wrapText="1" readingOrder="1"/>
      <protection locked="0"/>
    </xf>
    <xf numFmtId="191" fontId="9" fillId="5" borderId="24" xfId="1" applyNumberFormat="1" applyFont="1" applyFill="1" applyBorder="1" applyAlignment="1" applyProtection="1">
      <alignment horizontal="left" vertical="center" wrapText="1" readingOrder="1"/>
      <protection locked="0"/>
    </xf>
    <xf numFmtId="191" fontId="9" fillId="11" borderId="19" xfId="1" applyNumberFormat="1" applyFont="1" applyFill="1" applyBorder="1" applyAlignment="1" applyProtection="1">
      <alignment horizontal="left" vertical="center" wrapText="1" readingOrder="1"/>
      <protection locked="0"/>
    </xf>
    <xf numFmtId="191" fontId="9" fillId="7" borderId="19" xfId="1" applyNumberFormat="1" applyFont="1" applyFill="1" applyBorder="1" applyAlignment="1" applyProtection="1">
      <alignment horizontal="left" vertical="center" wrapText="1" readingOrder="1"/>
      <protection locked="0"/>
    </xf>
    <xf numFmtId="0" fontId="21" fillId="0" borderId="0" xfId="1" applyFont="1" applyAlignment="1" applyProtection="1">
      <alignment horizontal="center" vertical="center" wrapText="1" readingOrder="1"/>
      <protection locked="0"/>
    </xf>
    <xf numFmtId="0" fontId="22" fillId="0" borderId="0" xfId="0" applyFont="1"/>
    <xf numFmtId="193" fontId="5" fillId="9" borderId="6" xfId="1" applyNumberFormat="1" applyFont="1" applyFill="1" applyBorder="1" applyAlignment="1" applyProtection="1">
      <alignment horizontal="center" vertical="center" wrapText="1" readingOrder="1"/>
      <protection locked="0"/>
    </xf>
    <xf numFmtId="193" fontId="21" fillId="0" borderId="0" xfId="1" applyNumberFormat="1" applyFont="1" applyAlignment="1" applyProtection="1">
      <alignment horizontal="right" vertical="center" wrapText="1" readingOrder="1"/>
      <protection locked="0"/>
    </xf>
    <xf numFmtId="193" fontId="5" fillId="0" borderId="18" xfId="1" applyNumberFormat="1" applyFont="1" applyBorder="1" applyAlignment="1" applyProtection="1">
      <alignment horizontal="right" vertical="center" wrapText="1" readingOrder="1"/>
      <protection locked="0"/>
    </xf>
    <xf numFmtId="193" fontId="5" fillId="5" borderId="18" xfId="1" applyNumberFormat="1" applyFont="1" applyFill="1" applyBorder="1" applyAlignment="1" applyProtection="1">
      <alignment horizontal="right" vertical="center" wrapText="1" readingOrder="1"/>
      <protection locked="0"/>
    </xf>
    <xf numFmtId="193" fontId="5" fillId="4" borderId="18" xfId="1" applyNumberFormat="1" applyFont="1" applyFill="1" applyBorder="1" applyAlignment="1" applyProtection="1">
      <alignment horizontal="right" vertical="center" wrapText="1" readingOrder="1"/>
      <protection locked="0"/>
    </xf>
    <xf numFmtId="193" fontId="22" fillId="0" borderId="0" xfId="0" applyNumberFormat="1" applyFont="1" applyAlignment="1">
      <alignment horizontal="right"/>
    </xf>
    <xf numFmtId="0" fontId="23" fillId="0" borderId="0" xfId="1" applyFont="1" applyAlignment="1">
      <alignment horizontal="center" vertical="center"/>
    </xf>
    <xf numFmtId="0" fontId="11" fillId="0" borderId="0" xfId="1" applyFont="1" applyAlignment="1">
      <alignment horizontal="center" vertical="center"/>
    </xf>
    <xf numFmtId="0" fontId="24" fillId="0" borderId="0" xfId="0" applyFont="1" applyAlignment="1">
      <alignment horizontal="center" vertical="center"/>
    </xf>
    <xf numFmtId="190" fontId="9" fillId="0" borderId="12" xfId="1" applyNumberFormat="1" applyFont="1" applyBorder="1" applyAlignment="1" applyProtection="1">
      <alignment vertical="center" wrapText="1" readingOrder="1"/>
      <protection locked="0"/>
    </xf>
    <xf numFmtId="190" fontId="5" fillId="5" borderId="6" xfId="1" applyNumberFormat="1" applyFont="1" applyFill="1" applyBorder="1" applyAlignment="1" applyProtection="1">
      <alignment horizontal="center" vertical="center" wrapText="1" readingOrder="1"/>
      <protection locked="0"/>
    </xf>
    <xf numFmtId="0" fontId="5" fillId="9" borderId="2" xfId="1" applyFont="1" applyFill="1" applyBorder="1" applyAlignment="1" applyProtection="1">
      <alignment horizontal="center" vertical="center" wrapText="1" readingOrder="1"/>
      <protection locked="0"/>
    </xf>
    <xf numFmtId="188" fontId="9" fillId="8" borderId="51" xfId="2" applyNumberFormat="1" applyFont="1" applyFill="1" applyBorder="1" applyAlignment="1" applyProtection="1">
      <alignment horizontal="right" vertical="center" wrapText="1" readingOrder="1"/>
      <protection locked="0"/>
    </xf>
    <xf numFmtId="188" fontId="9" fillId="0" borderId="52" xfId="2" applyNumberFormat="1" applyFont="1" applyFill="1" applyBorder="1" applyAlignment="1" applyProtection="1">
      <alignment horizontal="right" vertical="center" wrapText="1" readingOrder="1"/>
      <protection locked="0"/>
    </xf>
    <xf numFmtId="188" fontId="9" fillId="5" borderId="52" xfId="2" applyNumberFormat="1" applyFont="1" applyFill="1" applyBorder="1" applyAlignment="1" applyProtection="1">
      <alignment horizontal="right" vertical="center" wrapText="1" readingOrder="1"/>
      <protection locked="0"/>
    </xf>
    <xf numFmtId="188" fontId="9" fillId="4" borderId="52" xfId="2" applyNumberFormat="1" applyFont="1" applyFill="1" applyBorder="1" applyAlignment="1" applyProtection="1">
      <alignment horizontal="right" vertical="center" wrapText="1" readingOrder="1"/>
      <protection locked="0"/>
    </xf>
    <xf numFmtId="188" fontId="9" fillId="7" borderId="52" xfId="2" applyNumberFormat="1" applyFont="1" applyFill="1" applyBorder="1" applyAlignment="1" applyProtection="1">
      <alignment horizontal="right" vertical="center" wrapText="1" readingOrder="1"/>
      <protection locked="0"/>
    </xf>
    <xf numFmtId="188" fontId="9" fillId="0" borderId="53" xfId="2" applyNumberFormat="1" applyFont="1" applyFill="1" applyBorder="1" applyAlignment="1" applyProtection="1">
      <alignment horizontal="right" vertical="center" wrapText="1" readingOrder="1"/>
      <protection locked="0"/>
    </xf>
    <xf numFmtId="188" fontId="9" fillId="8" borderId="54" xfId="2" applyNumberFormat="1" applyFont="1" applyFill="1" applyBorder="1" applyAlignment="1" applyProtection="1">
      <alignment horizontal="right" vertical="center" wrapText="1" readingOrder="1"/>
      <protection locked="0"/>
    </xf>
    <xf numFmtId="189" fontId="6" fillId="0" borderId="21" xfId="3" applyNumberFormat="1" applyFont="1" applyFill="1" applyBorder="1" applyAlignment="1" applyProtection="1">
      <alignment vertical="center" wrapText="1" readingOrder="1"/>
      <protection locked="0"/>
    </xf>
    <xf numFmtId="194" fontId="5" fillId="0" borderId="6" xfId="2" applyNumberFormat="1" applyFont="1" applyFill="1" applyBorder="1" applyAlignment="1" applyProtection="1">
      <alignment horizontal="right" vertical="center" wrapText="1" readingOrder="1"/>
      <protection locked="0"/>
    </xf>
    <xf numFmtId="0" fontId="27" fillId="0" borderId="0" xfId="10" applyFont="1"/>
    <xf numFmtId="0" fontId="28" fillId="0" borderId="0" xfId="10" applyFont="1"/>
    <xf numFmtId="40" fontId="28" fillId="0" borderId="0" xfId="11" applyNumberFormat="1" applyFont="1"/>
    <xf numFmtId="0" fontId="29" fillId="13" borderId="0" xfId="10" applyFont="1" applyFill="1" applyAlignment="1" applyProtection="1">
      <alignment horizontal="center" vertical="top" wrapText="1" readingOrder="1"/>
      <protection locked="0"/>
    </xf>
    <xf numFmtId="0" fontId="29" fillId="13" borderId="0" xfId="10" applyFont="1" applyFill="1" applyAlignment="1" applyProtection="1">
      <alignment horizontal="left" vertical="top" wrapText="1" readingOrder="1"/>
      <protection locked="0"/>
    </xf>
    <xf numFmtId="0" fontId="29" fillId="0" borderId="0" xfId="10" applyFont="1" applyAlignment="1" applyProtection="1">
      <alignment horizontal="left" vertical="top" wrapText="1" readingOrder="1"/>
      <protection locked="0"/>
    </xf>
    <xf numFmtId="0" fontId="30" fillId="0" borderId="0" xfId="10" applyFont="1"/>
    <xf numFmtId="0" fontId="31" fillId="0" borderId="0" xfId="10" applyFont="1" applyAlignment="1" applyProtection="1">
      <alignment horizontal="left" vertical="top" wrapText="1" readingOrder="1"/>
      <protection locked="0"/>
    </xf>
    <xf numFmtId="40" fontId="29" fillId="0" borderId="0" xfId="11" applyNumberFormat="1" applyFont="1" applyAlignment="1" applyProtection="1">
      <alignment horizontal="left" vertical="top" wrapText="1" readingOrder="1"/>
      <protection locked="0"/>
    </xf>
    <xf numFmtId="0" fontId="32" fillId="14" borderId="26" xfId="10" applyFont="1" applyFill="1" applyBorder="1" applyAlignment="1" applyProtection="1">
      <alignment horizontal="center" vertical="top" wrapText="1" readingOrder="1"/>
      <protection locked="0"/>
    </xf>
    <xf numFmtId="0" fontId="32" fillId="14" borderId="32" xfId="10" applyFont="1" applyFill="1" applyBorder="1" applyAlignment="1" applyProtection="1">
      <alignment horizontal="center" vertical="top" wrapText="1" readingOrder="1"/>
      <protection locked="0"/>
    </xf>
    <xf numFmtId="0" fontId="31" fillId="14" borderId="0" xfId="10" applyFont="1" applyFill="1" applyAlignment="1" applyProtection="1">
      <alignment horizontal="center" vertical="top" wrapText="1" readingOrder="1"/>
      <protection locked="0"/>
    </xf>
    <xf numFmtId="0" fontId="32" fillId="14" borderId="31" xfId="10" applyFont="1" applyFill="1" applyBorder="1" applyAlignment="1" applyProtection="1">
      <alignment horizontal="center" vertical="top" wrapText="1" readingOrder="1"/>
      <protection locked="0"/>
    </xf>
    <xf numFmtId="0" fontId="32" fillId="15" borderId="32" xfId="10" applyFont="1" applyFill="1" applyBorder="1" applyAlignment="1" applyProtection="1">
      <alignment horizontal="center" vertical="top" wrapText="1" readingOrder="1"/>
      <protection locked="0"/>
    </xf>
    <xf numFmtId="0" fontId="32" fillId="15" borderId="31" xfId="10" applyFont="1" applyFill="1" applyBorder="1" applyAlignment="1" applyProtection="1">
      <alignment horizontal="center" vertical="top" wrapText="1" readingOrder="1"/>
      <protection locked="0"/>
    </xf>
    <xf numFmtId="40" fontId="32" fillId="15" borderId="31" xfId="11" applyNumberFormat="1" applyFont="1" applyFill="1" applyBorder="1" applyAlignment="1" applyProtection="1">
      <alignment horizontal="center" vertical="top" wrapText="1" readingOrder="1"/>
      <protection locked="0"/>
    </xf>
    <xf numFmtId="0" fontId="32" fillId="15" borderId="26" xfId="10" applyFont="1" applyFill="1" applyBorder="1" applyAlignment="1" applyProtection="1">
      <alignment horizontal="center" vertical="top" wrapText="1" readingOrder="1"/>
      <protection locked="0"/>
    </xf>
    <xf numFmtId="0" fontId="37" fillId="0" borderId="0" xfId="10" applyFont="1"/>
    <xf numFmtId="0" fontId="32" fillId="14" borderId="43" xfId="10" applyFont="1" applyFill="1" applyBorder="1" applyAlignment="1" applyProtection="1">
      <alignment horizontal="center" vertical="top" wrapText="1" readingOrder="1"/>
      <protection locked="0"/>
    </xf>
    <xf numFmtId="0" fontId="36" fillId="16" borderId="59" xfId="10" applyFont="1" applyFill="1" applyBorder="1" applyAlignment="1" applyProtection="1">
      <alignment horizontal="center" vertical="top" wrapText="1" readingOrder="1"/>
      <protection locked="0"/>
    </xf>
    <xf numFmtId="0" fontId="36" fillId="18" borderId="17" xfId="10" applyFont="1" applyFill="1" applyBorder="1" applyAlignment="1" applyProtection="1">
      <alignment horizontal="center" vertical="top" wrapText="1" readingOrder="1"/>
      <protection locked="0"/>
    </xf>
    <xf numFmtId="0" fontId="36" fillId="16" borderId="61" xfId="10" applyFont="1" applyFill="1" applyBorder="1" applyAlignment="1" applyProtection="1">
      <alignment horizontal="center" vertical="top" wrapText="1" readingOrder="1"/>
      <protection locked="0"/>
    </xf>
    <xf numFmtId="0" fontId="36" fillId="18" borderId="34" xfId="10" applyFont="1" applyFill="1" applyBorder="1" applyAlignment="1" applyProtection="1">
      <alignment horizontal="center" vertical="top" wrapText="1" readingOrder="1"/>
      <protection locked="0"/>
    </xf>
    <xf numFmtId="0" fontId="36" fillId="17" borderId="61" xfId="10" applyFont="1" applyFill="1" applyBorder="1" applyAlignment="1" applyProtection="1">
      <alignment horizontal="center" vertical="top" wrapText="1" readingOrder="1"/>
      <protection locked="0"/>
    </xf>
    <xf numFmtId="0" fontId="36" fillId="17" borderId="63" xfId="10" applyFont="1" applyFill="1" applyBorder="1" applyAlignment="1" applyProtection="1">
      <alignment horizontal="center" vertical="top" wrapText="1" readingOrder="1"/>
      <protection locked="0"/>
    </xf>
    <xf numFmtId="40" fontId="36" fillId="18" borderId="63" xfId="11" applyNumberFormat="1" applyFont="1" applyFill="1" applyBorder="1" applyAlignment="1" applyProtection="1">
      <alignment horizontal="center" vertical="top" wrapText="1" readingOrder="1"/>
      <protection locked="0"/>
    </xf>
    <xf numFmtId="190" fontId="29" fillId="21" borderId="27" xfId="10" applyNumberFormat="1" applyFont="1" applyFill="1" applyBorder="1" applyAlignment="1" applyProtection="1">
      <alignment horizontal="right" vertical="top" wrapText="1" readingOrder="1"/>
      <protection locked="0"/>
    </xf>
    <xf numFmtId="40" fontId="40" fillId="21" borderId="27" xfId="11" applyNumberFormat="1" applyFont="1" applyFill="1" applyBorder="1" applyAlignment="1" applyProtection="1">
      <alignment horizontal="right" vertical="top" wrapText="1" readingOrder="1"/>
      <protection locked="0"/>
    </xf>
    <xf numFmtId="0" fontId="28" fillId="22" borderId="6" xfId="10" applyFont="1" applyFill="1" applyBorder="1" applyAlignment="1">
      <alignment vertical="top" wrapText="1"/>
    </xf>
    <xf numFmtId="190" fontId="29" fillId="16" borderId="17" xfId="10" applyNumberFormat="1" applyFont="1" applyFill="1" applyBorder="1" applyAlignment="1" applyProtection="1">
      <alignment horizontal="right" vertical="top" wrapText="1" readingOrder="1"/>
      <protection locked="0"/>
    </xf>
    <xf numFmtId="190" fontId="29" fillId="18" borderId="17" xfId="10" applyNumberFormat="1" applyFont="1" applyFill="1" applyBorder="1" applyAlignment="1" applyProtection="1">
      <alignment horizontal="right" vertical="top" wrapText="1" readingOrder="1"/>
      <protection locked="0"/>
    </xf>
    <xf numFmtId="190" fontId="29" fillId="17" borderId="17" xfId="10" applyNumberFormat="1" applyFont="1" applyFill="1" applyBorder="1" applyAlignment="1" applyProtection="1">
      <alignment horizontal="right" vertical="top" wrapText="1" readingOrder="1"/>
      <protection locked="0"/>
    </xf>
    <xf numFmtId="187" fontId="29" fillId="18" borderId="17" xfId="11" applyFont="1" applyFill="1" applyBorder="1" applyAlignment="1" applyProtection="1">
      <alignment horizontal="right" vertical="top" wrapText="1" readingOrder="1"/>
      <protection locked="0"/>
    </xf>
    <xf numFmtId="0" fontId="28" fillId="3" borderId="6" xfId="10" applyFont="1" applyFill="1" applyBorder="1" applyAlignment="1">
      <alignment vertical="top" wrapText="1"/>
    </xf>
    <xf numFmtId="0" fontId="37" fillId="0" borderId="17" xfId="10" applyFont="1" applyBorder="1" applyAlignment="1" applyProtection="1">
      <alignment horizontal="center" vertical="top" wrapText="1" readingOrder="1"/>
      <protection locked="0"/>
    </xf>
    <xf numFmtId="0" fontId="37" fillId="0" borderId="17" xfId="10" applyFont="1" applyBorder="1" applyAlignment="1" applyProtection="1">
      <alignment vertical="top" wrapText="1" readingOrder="1"/>
      <protection locked="0"/>
    </xf>
    <xf numFmtId="190" fontId="29" fillId="6" borderId="17" xfId="10" applyNumberFormat="1" applyFont="1" applyFill="1" applyBorder="1" applyAlignment="1" applyProtection="1">
      <alignment horizontal="right" vertical="top" wrapText="1" readingOrder="1"/>
      <protection locked="0"/>
    </xf>
    <xf numFmtId="190" fontId="29" fillId="11" borderId="17" xfId="10" applyNumberFormat="1" applyFont="1" applyFill="1" applyBorder="1" applyAlignment="1" applyProtection="1">
      <alignment horizontal="right" vertical="top" wrapText="1" readingOrder="1"/>
      <protection locked="0"/>
    </xf>
    <xf numFmtId="190" fontId="29" fillId="7" borderId="17" xfId="10" applyNumberFormat="1" applyFont="1" applyFill="1" applyBorder="1" applyAlignment="1" applyProtection="1">
      <alignment horizontal="right" vertical="top" wrapText="1" readingOrder="1"/>
      <protection locked="0"/>
    </xf>
    <xf numFmtId="187" fontId="29" fillId="7" borderId="17" xfId="11" applyFont="1" applyFill="1" applyBorder="1" applyAlignment="1" applyProtection="1">
      <alignment horizontal="right" vertical="top" wrapText="1" readingOrder="1"/>
      <protection locked="0"/>
    </xf>
    <xf numFmtId="187" fontId="29" fillId="11" borderId="17" xfId="11" applyFont="1" applyFill="1" applyBorder="1" applyAlignment="1" applyProtection="1">
      <alignment horizontal="right" vertical="top" wrapText="1" readingOrder="1"/>
      <protection locked="0"/>
    </xf>
    <xf numFmtId="0" fontId="28" fillId="0" borderId="6" xfId="10" applyFont="1" applyBorder="1" applyAlignment="1">
      <alignment vertical="top" wrapText="1"/>
    </xf>
    <xf numFmtId="190" fontId="41" fillId="7" borderId="17" xfId="10" applyNumberFormat="1" applyFont="1" applyFill="1" applyBorder="1" applyAlignment="1" applyProtection="1">
      <alignment horizontal="right" vertical="top" wrapText="1" readingOrder="1"/>
      <protection locked="0"/>
    </xf>
    <xf numFmtId="0" fontId="42" fillId="0" borderId="6" xfId="10" applyFont="1" applyBorder="1" applyAlignment="1">
      <alignment horizontal="left" vertical="top" wrapText="1"/>
    </xf>
    <xf numFmtId="0" fontId="42" fillId="0" borderId="6" xfId="10" applyFont="1" applyBorder="1" applyAlignment="1">
      <alignment vertical="top" wrapText="1"/>
    </xf>
    <xf numFmtId="190" fontId="40" fillId="17" borderId="17" xfId="10" applyNumberFormat="1" applyFont="1" applyFill="1" applyBorder="1" applyAlignment="1" applyProtection="1">
      <alignment horizontal="right" vertical="top" wrapText="1" readingOrder="1"/>
      <protection locked="0"/>
    </xf>
    <xf numFmtId="40" fontId="40" fillId="25" borderId="17" xfId="11" applyNumberFormat="1" applyFont="1" applyFill="1" applyBorder="1" applyAlignment="1" applyProtection="1">
      <alignment horizontal="right" vertical="top" wrapText="1" readingOrder="1"/>
      <protection locked="0"/>
    </xf>
    <xf numFmtId="0" fontId="28" fillId="26" borderId="6" xfId="10" applyFont="1" applyFill="1" applyBorder="1" applyAlignment="1">
      <alignment vertical="top" wrapText="1"/>
    </xf>
    <xf numFmtId="190" fontId="40" fillId="11" borderId="17" xfId="10" applyNumberFormat="1" applyFont="1" applyFill="1" applyBorder="1" applyAlignment="1" applyProtection="1">
      <alignment horizontal="right" vertical="top" wrapText="1" readingOrder="1"/>
      <protection locked="0"/>
    </xf>
    <xf numFmtId="40" fontId="40" fillId="11" borderId="17" xfId="11" applyNumberFormat="1" applyFont="1" applyFill="1" applyBorder="1" applyAlignment="1" applyProtection="1">
      <alignment horizontal="right" vertical="top" wrapText="1" readingOrder="1"/>
      <protection locked="0"/>
    </xf>
    <xf numFmtId="0" fontId="43" fillId="0" borderId="6" xfId="10" applyFont="1" applyBorder="1" applyAlignment="1">
      <alignment horizontal="left" vertical="top" wrapText="1"/>
    </xf>
    <xf numFmtId="0" fontId="28" fillId="0" borderId="6" xfId="10" applyFont="1" applyBorder="1"/>
    <xf numFmtId="0" fontId="37" fillId="0" borderId="26" xfId="10" applyFont="1" applyBorder="1" applyAlignment="1" applyProtection="1">
      <alignment horizontal="center" vertical="top" wrapText="1" readingOrder="1"/>
      <protection locked="0"/>
    </xf>
    <xf numFmtId="190" fontId="29" fillId="6" borderId="26" xfId="10" applyNumberFormat="1" applyFont="1" applyFill="1" applyBorder="1" applyAlignment="1" applyProtection="1">
      <alignment horizontal="right" vertical="top" wrapText="1" readingOrder="1"/>
      <protection locked="0"/>
    </xf>
    <xf numFmtId="190" fontId="29" fillId="11" borderId="26" xfId="10" applyNumberFormat="1" applyFont="1" applyFill="1" applyBorder="1" applyAlignment="1" applyProtection="1">
      <alignment horizontal="right" vertical="top" wrapText="1" readingOrder="1"/>
      <protection locked="0"/>
    </xf>
    <xf numFmtId="190" fontId="29" fillId="7" borderId="26" xfId="10" applyNumberFormat="1" applyFont="1" applyFill="1" applyBorder="1" applyAlignment="1" applyProtection="1">
      <alignment horizontal="right" vertical="top" wrapText="1" readingOrder="1"/>
      <protection locked="0"/>
    </xf>
    <xf numFmtId="190" fontId="41" fillId="7" borderId="26" xfId="10" applyNumberFormat="1" applyFont="1" applyFill="1" applyBorder="1" applyAlignment="1" applyProtection="1">
      <alignment horizontal="right" vertical="top" wrapText="1" readingOrder="1"/>
      <protection locked="0"/>
    </xf>
    <xf numFmtId="40" fontId="41" fillId="11" borderId="17" xfId="11" applyNumberFormat="1" applyFont="1" applyFill="1" applyBorder="1" applyAlignment="1" applyProtection="1">
      <alignment horizontal="right" vertical="top" wrapText="1" readingOrder="1"/>
      <protection locked="0"/>
    </xf>
    <xf numFmtId="190" fontId="29" fillId="5" borderId="6" xfId="10" applyNumberFormat="1" applyFont="1" applyFill="1" applyBorder="1" applyAlignment="1" applyProtection="1">
      <alignment horizontal="right" vertical="top" wrapText="1" readingOrder="1"/>
      <protection locked="0"/>
    </xf>
    <xf numFmtId="190" fontId="41" fillId="5" borderId="26" xfId="10" applyNumberFormat="1" applyFont="1" applyFill="1" applyBorder="1" applyAlignment="1" applyProtection="1">
      <alignment horizontal="right" vertical="top" wrapText="1" readingOrder="1"/>
      <protection locked="0"/>
    </xf>
    <xf numFmtId="190" fontId="36" fillId="5" borderId="6" xfId="10" applyNumberFormat="1" applyFont="1" applyFill="1" applyBorder="1" applyAlignment="1" applyProtection="1">
      <alignment horizontal="right" vertical="top" wrapText="1" readingOrder="1"/>
      <protection locked="0"/>
    </xf>
    <xf numFmtId="40" fontId="41" fillId="5" borderId="17" xfId="11" applyNumberFormat="1" applyFont="1" applyFill="1" applyBorder="1" applyAlignment="1" applyProtection="1">
      <alignment horizontal="right" vertical="top" wrapText="1" readingOrder="1"/>
      <protection locked="0"/>
    </xf>
    <xf numFmtId="187" fontId="41" fillId="5" borderId="26" xfId="11" applyFont="1" applyFill="1" applyBorder="1" applyAlignment="1" applyProtection="1">
      <alignment horizontal="right" vertical="top" wrapText="1" readingOrder="1"/>
      <protection locked="0"/>
    </xf>
    <xf numFmtId="187" fontId="36" fillId="5" borderId="6" xfId="11" applyFont="1" applyFill="1" applyBorder="1" applyAlignment="1" applyProtection="1">
      <alignment horizontal="right" vertical="top" wrapText="1" readingOrder="1"/>
      <protection locked="0"/>
    </xf>
    <xf numFmtId="0" fontId="42" fillId="0" borderId="6" xfId="10" applyFont="1" applyBorder="1" applyAlignment="1">
      <alignment vertical="center" wrapText="1"/>
    </xf>
    <xf numFmtId="190" fontId="29" fillId="6" borderId="27" xfId="10" applyNumberFormat="1" applyFont="1" applyFill="1" applyBorder="1" applyAlignment="1" applyProtection="1">
      <alignment horizontal="right" vertical="top" wrapText="1" readingOrder="1"/>
      <protection locked="0"/>
    </xf>
    <xf numFmtId="190" fontId="29" fillId="11" borderId="27" xfId="10" applyNumberFormat="1" applyFont="1" applyFill="1" applyBorder="1" applyAlignment="1" applyProtection="1">
      <alignment horizontal="right" vertical="top" wrapText="1" readingOrder="1"/>
      <protection locked="0"/>
    </xf>
    <xf numFmtId="190" fontId="29" fillId="27" borderId="17" xfId="10" applyNumberFormat="1" applyFont="1" applyFill="1" applyBorder="1" applyAlignment="1" applyProtection="1">
      <alignment horizontal="right" vertical="top" wrapText="1" readingOrder="1"/>
      <protection locked="0"/>
    </xf>
    <xf numFmtId="187" fontId="41" fillId="27" borderId="17" xfId="11" applyFont="1" applyFill="1" applyBorder="1" applyAlignment="1" applyProtection="1">
      <alignment horizontal="right" vertical="top" wrapText="1" readingOrder="1"/>
      <protection locked="0"/>
    </xf>
    <xf numFmtId="187" fontId="29" fillId="27" borderId="17" xfId="11" applyFont="1" applyFill="1" applyBorder="1" applyAlignment="1" applyProtection="1">
      <alignment horizontal="right" vertical="top" wrapText="1" readingOrder="1"/>
      <protection locked="0"/>
    </xf>
    <xf numFmtId="190" fontId="40" fillId="7" borderId="17" xfId="10" applyNumberFormat="1" applyFont="1" applyFill="1" applyBorder="1" applyAlignment="1" applyProtection="1">
      <alignment horizontal="right" vertical="top" wrapText="1" readingOrder="1"/>
      <protection locked="0"/>
    </xf>
    <xf numFmtId="0" fontId="43" fillId="0" borderId="6" xfId="10" applyFont="1" applyBorder="1" applyAlignment="1">
      <alignment vertical="top" wrapText="1"/>
    </xf>
    <xf numFmtId="0" fontId="37" fillId="0" borderId="26" xfId="10" applyFont="1" applyBorder="1" applyAlignment="1" applyProtection="1">
      <alignment vertical="top" wrapText="1" readingOrder="1"/>
      <protection locked="0"/>
    </xf>
    <xf numFmtId="190" fontId="29" fillId="17" borderId="17" xfId="10" applyNumberFormat="1" applyFont="1" applyFill="1" applyBorder="1" applyAlignment="1" applyProtection="1">
      <alignment horizontal="center" vertical="center" wrapText="1" readingOrder="1"/>
      <protection locked="0"/>
    </xf>
    <xf numFmtId="190" fontId="29" fillId="17" borderId="26" xfId="10" applyNumberFormat="1" applyFont="1" applyFill="1" applyBorder="1" applyAlignment="1" applyProtection="1">
      <alignment horizontal="center" vertical="center" wrapText="1" readingOrder="1"/>
      <protection locked="0"/>
    </xf>
    <xf numFmtId="187" fontId="40" fillId="18" borderId="17" xfId="11" applyFont="1" applyFill="1" applyBorder="1" applyAlignment="1" applyProtection="1">
      <alignment horizontal="right" vertical="top" wrapText="1" readingOrder="1"/>
      <protection locked="0"/>
    </xf>
    <xf numFmtId="0" fontId="37" fillId="0" borderId="13" xfId="10" applyFont="1" applyBorder="1" applyAlignment="1" applyProtection="1">
      <alignment vertical="top" wrapText="1" readingOrder="1"/>
      <protection locked="0"/>
    </xf>
    <xf numFmtId="0" fontId="31" fillId="0" borderId="6" xfId="10" applyFont="1" applyBorder="1" applyAlignment="1" applyProtection="1">
      <alignment horizontal="center" vertical="top" wrapText="1" readingOrder="1"/>
      <protection locked="0"/>
    </xf>
    <xf numFmtId="0" fontId="36" fillId="0" borderId="6" xfId="10" applyFont="1" applyBorder="1" applyAlignment="1" applyProtection="1">
      <alignment horizontal="center" vertical="top" wrapText="1" readingOrder="1"/>
      <protection locked="0"/>
    </xf>
    <xf numFmtId="190" fontId="29" fillId="6" borderId="20" xfId="10" applyNumberFormat="1" applyFont="1" applyFill="1" applyBorder="1" applyAlignment="1" applyProtection="1">
      <alignment horizontal="right" vertical="top" wrapText="1" readingOrder="1"/>
      <protection locked="0"/>
    </xf>
    <xf numFmtId="0" fontId="28" fillId="0" borderId="0" xfId="10" applyFont="1" applyAlignment="1">
      <alignment vertical="top"/>
    </xf>
    <xf numFmtId="0" fontId="37" fillId="0" borderId="18" xfId="10" applyFont="1" applyBorder="1" applyAlignment="1" applyProtection="1">
      <alignment vertical="top" wrapText="1" readingOrder="1"/>
      <protection locked="0"/>
    </xf>
    <xf numFmtId="0" fontId="36" fillId="0" borderId="6" xfId="10" applyFont="1" applyBorder="1" applyAlignment="1" applyProtection="1">
      <alignment horizontal="center" vertical="center" wrapText="1" readingOrder="1"/>
      <protection locked="0"/>
    </xf>
    <xf numFmtId="187" fontId="41" fillId="7" borderId="17" xfId="11" applyFont="1" applyFill="1" applyBorder="1" applyAlignment="1" applyProtection="1">
      <alignment horizontal="right" vertical="top" wrapText="1" readingOrder="1"/>
      <protection locked="0"/>
    </xf>
    <xf numFmtId="0" fontId="37" fillId="12" borderId="18" xfId="10" applyFont="1" applyFill="1" applyBorder="1" applyAlignment="1" applyProtection="1">
      <alignment vertical="top" wrapText="1" readingOrder="1"/>
      <protection locked="0"/>
    </xf>
    <xf numFmtId="0" fontId="44" fillId="0" borderId="6" xfId="10" applyFont="1" applyBorder="1" applyAlignment="1" applyProtection="1">
      <alignment horizontal="center" vertical="top" wrapText="1" readingOrder="1"/>
      <protection locked="0"/>
    </xf>
    <xf numFmtId="187" fontId="29" fillId="6" borderId="6" xfId="11" applyFont="1" applyFill="1" applyBorder="1" applyAlignment="1" applyProtection="1">
      <alignment horizontal="right" vertical="top" wrapText="1" readingOrder="1"/>
      <protection locked="0"/>
    </xf>
    <xf numFmtId="187" fontId="29" fillId="11" borderId="6" xfId="11" applyFont="1" applyFill="1" applyBorder="1" applyAlignment="1" applyProtection="1">
      <alignment horizontal="right" vertical="top" wrapText="1" readingOrder="1"/>
      <protection locked="0"/>
    </xf>
    <xf numFmtId="190" fontId="41" fillId="7" borderId="20" xfId="10" applyNumberFormat="1" applyFont="1" applyFill="1" applyBorder="1" applyAlignment="1" applyProtection="1">
      <alignment horizontal="right" vertical="top" wrapText="1" readingOrder="1"/>
      <protection locked="0"/>
    </xf>
    <xf numFmtId="0" fontId="36" fillId="12" borderId="17" xfId="10" applyFont="1" applyFill="1" applyBorder="1" applyAlignment="1" applyProtection="1">
      <alignment vertical="top" wrapText="1" readingOrder="1"/>
      <protection locked="0"/>
    </xf>
    <xf numFmtId="187" fontId="29" fillId="6" borderId="30" xfId="11" applyFont="1" applyFill="1" applyBorder="1" applyAlignment="1" applyProtection="1">
      <alignment horizontal="right" vertical="top" wrapText="1" readingOrder="1"/>
      <protection locked="0"/>
    </xf>
    <xf numFmtId="187" fontId="29" fillId="11" borderId="27" xfId="11" applyFont="1" applyFill="1" applyBorder="1" applyAlignment="1" applyProtection="1">
      <alignment horizontal="right" vertical="top" wrapText="1" readingOrder="1"/>
      <protection locked="0"/>
    </xf>
    <xf numFmtId="0" fontId="36" fillId="12" borderId="26" xfId="10" applyFont="1" applyFill="1" applyBorder="1" applyAlignment="1" applyProtection="1">
      <alignment vertical="top" wrapText="1" readingOrder="1"/>
      <protection locked="0"/>
    </xf>
    <xf numFmtId="187" fontId="29" fillId="6" borderId="20" xfId="11" applyFont="1" applyFill="1" applyBorder="1" applyAlignment="1" applyProtection="1">
      <alignment horizontal="right" vertical="top" wrapText="1" readingOrder="1"/>
      <protection locked="0"/>
    </xf>
    <xf numFmtId="0" fontId="37" fillId="6" borderId="18" xfId="10" applyFont="1" applyFill="1" applyBorder="1" applyAlignment="1" applyProtection="1">
      <alignment vertical="top" wrapText="1" readingOrder="1"/>
      <protection locked="0"/>
    </xf>
    <xf numFmtId="0" fontId="45" fillId="0" borderId="6" xfId="10" applyFont="1" applyBorder="1" applyAlignment="1" applyProtection="1">
      <alignment horizontal="center" vertical="top" wrapText="1" readingOrder="1"/>
      <protection locked="0"/>
    </xf>
    <xf numFmtId="190" fontId="29" fillId="6" borderId="33" xfId="10" applyNumberFormat="1" applyFont="1" applyFill="1" applyBorder="1" applyAlignment="1" applyProtection="1">
      <alignment horizontal="right" vertical="top" wrapText="1" readingOrder="1"/>
      <protection locked="0"/>
    </xf>
    <xf numFmtId="187" fontId="29" fillId="11" borderId="26" xfId="11" applyFont="1" applyFill="1" applyBorder="1" applyAlignment="1" applyProtection="1">
      <alignment horizontal="right" vertical="top" wrapText="1" readingOrder="1"/>
      <protection locked="0"/>
    </xf>
    <xf numFmtId="0" fontId="28" fillId="0" borderId="0" xfId="10" applyFont="1" applyAlignment="1">
      <alignment vertical="center"/>
    </xf>
    <xf numFmtId="0" fontId="37" fillId="0" borderId="18" xfId="10" applyFont="1" applyBorder="1" applyAlignment="1" applyProtection="1">
      <alignment horizontal="center" vertical="top" wrapText="1" readingOrder="1"/>
      <protection locked="0"/>
    </xf>
    <xf numFmtId="0" fontId="36" fillId="6" borderId="6" xfId="10" applyFont="1" applyFill="1" applyBorder="1" applyAlignment="1" applyProtection="1">
      <alignment horizontal="left" vertical="top" wrapText="1" readingOrder="1"/>
      <protection locked="0"/>
    </xf>
    <xf numFmtId="190" fontId="37" fillId="7" borderId="17" xfId="10" applyNumberFormat="1" applyFont="1" applyFill="1" applyBorder="1" applyAlignment="1" applyProtection="1">
      <alignment horizontal="right" vertical="top" wrapText="1" readingOrder="1"/>
      <protection locked="0"/>
    </xf>
    <xf numFmtId="0" fontId="37" fillId="6" borderId="6" xfId="10" applyFont="1" applyFill="1" applyBorder="1" applyAlignment="1" applyProtection="1">
      <alignment horizontal="left" vertical="top" wrapText="1" readingOrder="1"/>
      <protection locked="0"/>
    </xf>
    <xf numFmtId="187" fontId="37" fillId="7" borderId="17" xfId="11" applyFont="1" applyFill="1" applyBorder="1" applyAlignment="1" applyProtection="1">
      <alignment horizontal="right" vertical="top" wrapText="1" readingOrder="1"/>
      <protection locked="0"/>
    </xf>
    <xf numFmtId="187" fontId="37" fillId="11" borderId="17" xfId="11" applyFont="1" applyFill="1" applyBorder="1" applyAlignment="1" applyProtection="1">
      <alignment horizontal="right" vertical="top" wrapText="1" readingOrder="1"/>
      <protection locked="0"/>
    </xf>
    <xf numFmtId="0" fontId="40" fillId="6" borderId="18" xfId="10" applyFont="1" applyFill="1" applyBorder="1" applyAlignment="1" applyProtection="1">
      <alignment vertical="top" wrapText="1" readingOrder="1"/>
      <protection locked="0"/>
    </xf>
    <xf numFmtId="0" fontId="40" fillId="0" borderId="6" xfId="10" applyFont="1" applyBorder="1" applyAlignment="1" applyProtection="1">
      <alignment horizontal="center" vertical="top" wrapText="1" readingOrder="1"/>
      <protection locked="0"/>
    </xf>
    <xf numFmtId="0" fontId="40" fillId="28" borderId="18" xfId="10" applyFont="1" applyFill="1" applyBorder="1" applyAlignment="1" applyProtection="1">
      <alignment vertical="top" wrapText="1" readingOrder="1"/>
      <protection locked="0"/>
    </xf>
    <xf numFmtId="0" fontId="40" fillId="28" borderId="13" xfId="10" applyFont="1" applyFill="1" applyBorder="1" applyAlignment="1" applyProtection="1">
      <alignment vertical="top" wrapText="1" readingOrder="1"/>
      <protection locked="0"/>
    </xf>
    <xf numFmtId="0" fontId="43" fillId="28" borderId="6" xfId="10" applyFont="1" applyFill="1" applyBorder="1" applyAlignment="1">
      <alignment vertical="top" wrapText="1"/>
    </xf>
    <xf numFmtId="190" fontId="29" fillId="21" borderId="17" xfId="10" applyNumberFormat="1" applyFont="1" applyFill="1" applyBorder="1" applyAlignment="1" applyProtection="1">
      <alignment horizontal="right" vertical="top" wrapText="1" readingOrder="1"/>
      <protection locked="0"/>
    </xf>
    <xf numFmtId="190" fontId="37" fillId="17" borderId="17" xfId="10" applyNumberFormat="1" applyFont="1" applyFill="1" applyBorder="1" applyAlignment="1" applyProtection="1">
      <alignment horizontal="right" vertical="top" wrapText="1" readingOrder="1"/>
      <protection locked="0"/>
    </xf>
    <xf numFmtId="40" fontId="40" fillId="18" borderId="17" xfId="11" applyNumberFormat="1" applyFont="1" applyFill="1" applyBorder="1" applyAlignment="1" applyProtection="1">
      <alignment horizontal="right" vertical="top" wrapText="1" readingOrder="1"/>
      <protection locked="0"/>
    </xf>
    <xf numFmtId="0" fontId="28" fillId="0" borderId="0" xfId="0" applyFont="1"/>
    <xf numFmtId="0" fontId="49" fillId="0" borderId="0" xfId="0" applyFont="1" applyAlignment="1">
      <alignment horizontal="center" vertical="center"/>
    </xf>
    <xf numFmtId="0" fontId="28" fillId="0" borderId="0" xfId="0" applyFont="1" applyAlignment="1">
      <alignment wrapText="1"/>
    </xf>
    <xf numFmtId="0" fontId="50" fillId="0" borderId="0" xfId="0" applyFont="1"/>
    <xf numFmtId="0" fontId="29" fillId="13" borderId="0" xfId="0" applyFont="1" applyFill="1" applyAlignment="1" applyProtection="1">
      <alignment horizontal="center" vertical="top" wrapText="1" readingOrder="1"/>
      <protection locked="0"/>
    </xf>
    <xf numFmtId="0" fontId="29" fillId="13" borderId="0" xfId="0" applyFont="1" applyFill="1" applyAlignment="1" applyProtection="1">
      <alignment vertical="top" readingOrder="1"/>
      <protection locked="0"/>
    </xf>
    <xf numFmtId="0" fontId="28" fillId="13" borderId="0" xfId="0" applyFont="1" applyFill="1"/>
    <xf numFmtId="0" fontId="49" fillId="13" borderId="0" xfId="0" applyFont="1" applyFill="1" applyAlignment="1">
      <alignment horizontal="center" vertical="center"/>
    </xf>
    <xf numFmtId="0" fontId="29" fillId="0" borderId="0" xfId="0" applyFont="1" applyAlignment="1" applyProtection="1">
      <alignment vertical="top" wrapText="1" readingOrder="1"/>
      <protection locked="0"/>
    </xf>
    <xf numFmtId="0" fontId="43" fillId="0" borderId="0" xfId="0" applyFont="1"/>
    <xf numFmtId="0" fontId="29" fillId="0" borderId="0" xfId="0" applyFont="1" applyAlignment="1" applyProtection="1">
      <alignment horizontal="left" vertical="top" wrapText="1" readingOrder="1"/>
      <protection locked="0"/>
    </xf>
    <xf numFmtId="0" fontId="28" fillId="0" borderId="0" xfId="0" applyFont="1" applyAlignment="1">
      <alignment horizontal="center"/>
    </xf>
    <xf numFmtId="0" fontId="51" fillId="0" borderId="0" xfId="0" applyFont="1" applyAlignment="1" applyProtection="1">
      <alignment horizontal="center" vertical="center" wrapText="1" readingOrder="1"/>
      <protection locked="0"/>
    </xf>
    <xf numFmtId="0" fontId="31" fillId="0" borderId="0" xfId="0" applyFont="1" applyAlignment="1" applyProtection="1">
      <alignment horizontal="left" vertical="top" wrapText="1" readingOrder="1"/>
      <protection locked="0"/>
    </xf>
    <xf numFmtId="0" fontId="31" fillId="0" borderId="0" xfId="0" applyFont="1" applyAlignment="1" applyProtection="1">
      <alignment horizontal="center" vertical="top" wrapText="1" readingOrder="1"/>
      <protection locked="0"/>
    </xf>
    <xf numFmtId="0" fontId="32" fillId="14" borderId="26" xfId="0" applyFont="1" applyFill="1" applyBorder="1" applyAlignment="1" applyProtection="1">
      <alignment horizontal="center" vertical="top" wrapText="1" readingOrder="1"/>
      <protection locked="0"/>
    </xf>
    <xf numFmtId="0" fontId="32" fillId="14" borderId="32" xfId="0" applyFont="1" applyFill="1" applyBorder="1" applyAlignment="1" applyProtection="1">
      <alignment horizontal="center" vertical="top" wrapText="1" readingOrder="1"/>
      <protection locked="0"/>
    </xf>
    <xf numFmtId="0" fontId="31" fillId="14" borderId="0" xfId="0" applyFont="1" applyFill="1" applyAlignment="1" applyProtection="1">
      <alignment horizontal="center" vertical="top" wrapText="1" readingOrder="1"/>
      <protection locked="0"/>
    </xf>
    <xf numFmtId="0" fontId="32" fillId="15" borderId="0" xfId="0" applyFont="1" applyFill="1" applyAlignment="1" applyProtection="1">
      <alignment horizontal="center" vertical="top" wrapText="1" readingOrder="1"/>
      <protection locked="0"/>
    </xf>
    <xf numFmtId="0" fontId="32" fillId="15" borderId="32" xfId="0" applyFont="1" applyFill="1" applyBorder="1" applyAlignment="1" applyProtection="1">
      <alignment horizontal="center" vertical="top" wrapText="1" readingOrder="1"/>
      <protection locked="0"/>
    </xf>
    <xf numFmtId="0" fontId="51" fillId="15" borderId="0" xfId="0" applyFont="1" applyFill="1" applyAlignment="1" applyProtection="1">
      <alignment horizontal="center" vertical="center" wrapText="1" readingOrder="1"/>
      <protection locked="0"/>
    </xf>
    <xf numFmtId="0" fontId="37" fillId="0" borderId="0" xfId="0" applyFont="1"/>
    <xf numFmtId="190" fontId="29" fillId="19" borderId="10" xfId="0" applyNumberFormat="1" applyFont="1" applyFill="1" applyBorder="1" applyAlignment="1" applyProtection="1">
      <alignment horizontal="center" vertical="top" wrapText="1" readingOrder="1"/>
      <protection locked="0"/>
    </xf>
    <xf numFmtId="190" fontId="29" fillId="19" borderId="10" xfId="0" applyNumberFormat="1" applyFont="1" applyFill="1" applyBorder="1" applyAlignment="1" applyProtection="1">
      <alignment horizontal="right" vertical="top" wrapText="1" readingOrder="1"/>
      <protection locked="0"/>
    </xf>
    <xf numFmtId="195" fontId="37" fillId="20" borderId="6" xfId="8" applyNumberFormat="1" applyFont="1" applyFill="1" applyBorder="1" applyAlignment="1" applyProtection="1">
      <alignment horizontal="right" vertical="top" wrapText="1" readingOrder="1"/>
      <protection locked="0"/>
    </xf>
    <xf numFmtId="196" fontId="36" fillId="20" borderId="6" xfId="8" applyNumberFormat="1" applyFont="1" applyFill="1" applyBorder="1" applyAlignment="1" applyProtection="1">
      <alignment horizontal="right" vertical="top" wrapText="1" readingOrder="1"/>
      <protection locked="0"/>
    </xf>
    <xf numFmtId="43" fontId="29" fillId="19" borderId="10" xfId="7" applyFont="1" applyFill="1" applyBorder="1" applyAlignment="1" applyProtection="1">
      <alignment horizontal="right" vertical="top" wrapText="1" readingOrder="1"/>
      <protection locked="0"/>
    </xf>
    <xf numFmtId="195" fontId="51" fillId="20" borderId="6" xfId="8" applyNumberFormat="1" applyFont="1" applyFill="1" applyBorder="1" applyAlignment="1" applyProtection="1">
      <alignment horizontal="center" vertical="center" wrapText="1" readingOrder="1"/>
      <protection locked="0"/>
    </xf>
    <xf numFmtId="0" fontId="43" fillId="20" borderId="6" xfId="0" applyFont="1" applyFill="1" applyBorder="1" applyAlignment="1">
      <alignment vertical="top" wrapText="1"/>
    </xf>
    <xf numFmtId="0" fontId="37" fillId="0" borderId="69" xfId="0" applyFont="1" applyBorder="1" applyAlignment="1" applyProtection="1">
      <alignment horizontal="center" vertical="top" wrapText="1" readingOrder="1"/>
      <protection locked="0"/>
    </xf>
    <xf numFmtId="0" fontId="37" fillId="0" borderId="6" xfId="0" applyFont="1" applyBorder="1" applyAlignment="1" applyProtection="1">
      <alignment horizontal="center" vertical="top" wrapText="1" readingOrder="1"/>
      <protection locked="0"/>
    </xf>
    <xf numFmtId="0" fontId="37" fillId="0" borderId="6" xfId="0" applyFont="1" applyBorder="1" applyAlignment="1" applyProtection="1">
      <alignment vertical="top" wrapText="1" readingOrder="1"/>
      <protection locked="0"/>
    </xf>
    <xf numFmtId="0" fontId="41" fillId="0" borderId="6" xfId="0" applyFont="1" applyBorder="1" applyAlignment="1" applyProtection="1">
      <alignment horizontal="center" vertical="top" wrapText="1" readingOrder="1"/>
      <protection locked="0"/>
    </xf>
    <xf numFmtId="190" fontId="29" fillId="24" borderId="6" xfId="0" applyNumberFormat="1" applyFont="1" applyFill="1" applyBorder="1" applyAlignment="1" applyProtection="1">
      <alignment horizontal="right" vertical="top" wrapText="1" readingOrder="1"/>
      <protection locked="0"/>
    </xf>
    <xf numFmtId="190" fontId="40" fillId="7" borderId="6" xfId="0" applyNumberFormat="1" applyFont="1" applyFill="1" applyBorder="1" applyAlignment="1" applyProtection="1">
      <alignment horizontal="right" vertical="top" wrapText="1" readingOrder="1"/>
      <protection locked="0"/>
    </xf>
    <xf numFmtId="190" fontId="29" fillId="32" borderId="6" xfId="0" applyNumberFormat="1" applyFont="1" applyFill="1" applyBorder="1" applyAlignment="1" applyProtection="1">
      <alignment horizontal="right" vertical="top" wrapText="1" readingOrder="1"/>
      <protection locked="0"/>
    </xf>
    <xf numFmtId="196" fontId="37" fillId="24" borderId="6" xfId="8" applyNumberFormat="1" applyFont="1" applyFill="1" applyBorder="1" applyAlignment="1" applyProtection="1">
      <alignment horizontal="right" vertical="top" wrapText="1" readingOrder="1"/>
      <protection locked="0"/>
    </xf>
    <xf numFmtId="196" fontId="36" fillId="7" borderId="6" xfId="8" applyNumberFormat="1" applyFont="1" applyFill="1" applyBorder="1" applyAlignment="1" applyProtection="1">
      <alignment horizontal="right" vertical="top" wrapText="1" readingOrder="1"/>
      <protection locked="0"/>
    </xf>
    <xf numFmtId="190" fontId="29" fillId="7" borderId="6" xfId="0" applyNumberFormat="1" applyFont="1" applyFill="1" applyBorder="1" applyAlignment="1" applyProtection="1">
      <alignment horizontal="right" vertical="top" wrapText="1" readingOrder="1"/>
      <protection locked="0"/>
    </xf>
    <xf numFmtId="196" fontId="37" fillId="7" borderId="6" xfId="8" applyNumberFormat="1" applyFont="1" applyFill="1" applyBorder="1" applyAlignment="1" applyProtection="1">
      <alignment horizontal="right" vertical="top" wrapText="1" readingOrder="1"/>
      <protection locked="0"/>
    </xf>
    <xf numFmtId="0" fontId="28" fillId="11" borderId="6" xfId="0" applyFont="1" applyFill="1" applyBorder="1" applyAlignment="1">
      <alignment vertical="top" wrapText="1"/>
    </xf>
    <xf numFmtId="0" fontId="50" fillId="0" borderId="0" xfId="0" applyFont="1" applyAlignment="1">
      <alignment vertical="center"/>
    </xf>
    <xf numFmtId="190" fontId="36" fillId="24" borderId="6" xfId="0" applyNumberFormat="1" applyFont="1" applyFill="1" applyBorder="1" applyAlignment="1" applyProtection="1">
      <alignment horizontal="right" vertical="top" wrapText="1" readingOrder="1"/>
      <protection locked="0"/>
    </xf>
    <xf numFmtId="43" fontId="28" fillId="0" borderId="0" xfId="7" applyFont="1" applyAlignment="1">
      <alignment vertical="center"/>
    </xf>
    <xf numFmtId="4" fontId="28" fillId="0" borderId="0" xfId="0" applyNumberFormat="1" applyFont="1" applyAlignment="1">
      <alignment vertical="center"/>
    </xf>
    <xf numFmtId="191" fontId="54" fillId="0" borderId="6" xfId="6" applyNumberFormat="1" applyFont="1" applyFill="1" applyBorder="1" applyAlignment="1" applyProtection="1">
      <alignment horizontal="center" vertical="center" wrapText="1" readingOrder="1"/>
      <protection locked="0"/>
    </xf>
    <xf numFmtId="0" fontId="28" fillId="0" borderId="6" xfId="0" applyFont="1" applyBorder="1" applyAlignment="1">
      <alignment vertical="top" wrapText="1"/>
    </xf>
    <xf numFmtId="43" fontId="28" fillId="0" borderId="0" xfId="0" applyNumberFormat="1" applyFont="1"/>
    <xf numFmtId="43" fontId="28" fillId="0" borderId="0" xfId="0" applyNumberFormat="1" applyFont="1" applyAlignment="1">
      <alignment vertical="center"/>
    </xf>
    <xf numFmtId="190" fontId="37" fillId="7" borderId="6" xfId="0" applyNumberFormat="1" applyFont="1" applyFill="1" applyBorder="1" applyAlignment="1" applyProtection="1">
      <alignment horizontal="right" vertical="top" wrapText="1" readingOrder="1"/>
      <protection locked="0"/>
    </xf>
    <xf numFmtId="196" fontId="54" fillId="0" borderId="6" xfId="6" applyNumberFormat="1" applyFont="1" applyFill="1" applyBorder="1" applyAlignment="1" applyProtection="1">
      <alignment horizontal="center" vertical="center" wrapText="1" readingOrder="1"/>
      <protection locked="0"/>
    </xf>
    <xf numFmtId="0" fontId="37" fillId="0" borderId="7" xfId="0" applyFont="1" applyBorder="1" applyAlignment="1" applyProtection="1">
      <alignment vertical="top" wrapText="1" readingOrder="1"/>
      <protection locked="0"/>
    </xf>
    <xf numFmtId="0" fontId="28" fillId="5" borderId="6" xfId="0" applyFont="1" applyFill="1" applyBorder="1" applyAlignment="1">
      <alignment wrapText="1"/>
    </xf>
    <xf numFmtId="190" fontId="57" fillId="7" borderId="6" xfId="0" applyNumberFormat="1" applyFont="1" applyFill="1" applyBorder="1" applyAlignment="1" applyProtection="1">
      <alignment horizontal="right" vertical="top" wrapText="1" readingOrder="1"/>
      <protection locked="0"/>
    </xf>
    <xf numFmtId="190" fontId="57" fillId="32" borderId="6" xfId="0" applyNumberFormat="1" applyFont="1" applyFill="1" applyBorder="1" applyAlignment="1" applyProtection="1">
      <alignment horizontal="right" vertical="top" wrapText="1" readingOrder="1"/>
      <protection locked="0"/>
    </xf>
    <xf numFmtId="197" fontId="57" fillId="7" borderId="6" xfId="8" applyNumberFormat="1" applyFont="1" applyFill="1" applyBorder="1" applyAlignment="1" applyProtection="1">
      <alignment horizontal="right" vertical="top" wrapText="1" readingOrder="1"/>
      <protection locked="0"/>
    </xf>
    <xf numFmtId="190" fontId="58" fillId="24" borderId="6" xfId="0" applyNumberFormat="1" applyFont="1" applyFill="1" applyBorder="1" applyAlignment="1" applyProtection="1">
      <alignment horizontal="right" vertical="top" wrapText="1" readingOrder="1"/>
      <protection locked="0"/>
    </xf>
    <xf numFmtId="196" fontId="58" fillId="24" borderId="6" xfId="8" applyNumberFormat="1" applyFont="1" applyFill="1" applyBorder="1" applyAlignment="1" applyProtection="1">
      <alignment horizontal="right" vertical="top" wrapText="1" readingOrder="1"/>
      <protection locked="0"/>
    </xf>
    <xf numFmtId="0" fontId="50" fillId="0" borderId="0" xfId="0" applyFont="1" applyAlignment="1">
      <alignment horizontal="left" vertical="center"/>
    </xf>
    <xf numFmtId="196" fontId="57" fillId="7" borderId="6" xfId="8" applyNumberFormat="1" applyFont="1" applyFill="1" applyBorder="1" applyAlignment="1" applyProtection="1">
      <alignment horizontal="right" vertical="top" wrapText="1" readingOrder="1"/>
      <protection locked="0"/>
    </xf>
    <xf numFmtId="190" fontId="58" fillId="24" borderId="7" xfId="0" applyNumberFormat="1" applyFont="1" applyFill="1" applyBorder="1" applyAlignment="1" applyProtection="1">
      <alignment horizontal="right" vertical="top" wrapText="1" readingOrder="1"/>
      <protection locked="0"/>
    </xf>
    <xf numFmtId="190" fontId="36" fillId="24" borderId="7" xfId="0" applyNumberFormat="1" applyFont="1" applyFill="1" applyBorder="1" applyAlignment="1" applyProtection="1">
      <alignment horizontal="right" vertical="top" wrapText="1" readingOrder="1"/>
      <protection locked="0"/>
    </xf>
    <xf numFmtId="190" fontId="29" fillId="7" borderId="7" xfId="0" applyNumberFormat="1" applyFont="1" applyFill="1" applyBorder="1" applyAlignment="1" applyProtection="1">
      <alignment horizontal="right" vertical="top" wrapText="1" readingOrder="1"/>
      <protection locked="0"/>
    </xf>
    <xf numFmtId="190" fontId="29" fillId="32" borderId="7" xfId="0" applyNumberFormat="1" applyFont="1" applyFill="1" applyBorder="1" applyAlignment="1" applyProtection="1">
      <alignment horizontal="right" vertical="top" wrapText="1" readingOrder="1"/>
      <protection locked="0"/>
    </xf>
    <xf numFmtId="196" fontId="37" fillId="24" borderId="7" xfId="8" applyNumberFormat="1" applyFont="1" applyFill="1" applyBorder="1" applyAlignment="1" applyProtection="1">
      <alignment horizontal="right" vertical="top" wrapText="1" readingOrder="1"/>
      <protection locked="0"/>
    </xf>
    <xf numFmtId="196" fontId="36" fillId="7" borderId="8" xfId="8" applyNumberFormat="1" applyFont="1" applyFill="1" applyBorder="1" applyAlignment="1" applyProtection="1">
      <alignment horizontal="right" vertical="top" wrapText="1" readingOrder="1"/>
      <protection locked="0"/>
    </xf>
    <xf numFmtId="196" fontId="37" fillId="24" borderId="36" xfId="8" applyNumberFormat="1" applyFont="1" applyFill="1" applyBorder="1" applyAlignment="1" applyProtection="1">
      <alignment horizontal="right" vertical="top" wrapText="1" readingOrder="1"/>
      <protection locked="0"/>
    </xf>
    <xf numFmtId="196" fontId="37" fillId="7" borderId="7" xfId="8" applyNumberFormat="1" applyFont="1" applyFill="1" applyBorder="1" applyAlignment="1" applyProtection="1">
      <alignment horizontal="right" vertical="top" wrapText="1" readingOrder="1"/>
      <protection locked="0"/>
    </xf>
    <xf numFmtId="196" fontId="54" fillId="0" borderId="7" xfId="6" applyNumberFormat="1" applyFont="1" applyFill="1" applyBorder="1" applyAlignment="1" applyProtection="1">
      <alignment horizontal="center" vertical="center" wrapText="1" readingOrder="1"/>
      <protection locked="0"/>
    </xf>
    <xf numFmtId="0" fontId="30" fillId="0" borderId="7" xfId="0" applyFont="1" applyBorder="1" applyAlignment="1">
      <alignment vertical="top" wrapText="1"/>
    </xf>
    <xf numFmtId="190" fontId="36" fillId="24" borderId="10" xfId="0" applyNumberFormat="1" applyFont="1" applyFill="1" applyBorder="1" applyAlignment="1" applyProtection="1">
      <alignment horizontal="right" vertical="top" wrapText="1" readingOrder="1"/>
      <protection locked="0"/>
    </xf>
    <xf numFmtId="190" fontId="29" fillId="7" borderId="10" xfId="0" applyNumberFormat="1" applyFont="1" applyFill="1" applyBorder="1" applyAlignment="1" applyProtection="1">
      <alignment horizontal="right" vertical="top" wrapText="1" readingOrder="1"/>
      <protection locked="0"/>
    </xf>
    <xf numFmtId="190" fontId="29" fillId="32" borderId="10" xfId="0" applyNumberFormat="1" applyFont="1" applyFill="1" applyBorder="1" applyAlignment="1" applyProtection="1">
      <alignment horizontal="right" vertical="top" wrapText="1" readingOrder="1"/>
      <protection locked="0"/>
    </xf>
    <xf numFmtId="196" fontId="37" fillId="24" borderId="10" xfId="8" applyNumberFormat="1" applyFont="1" applyFill="1" applyBorder="1" applyAlignment="1" applyProtection="1">
      <alignment horizontal="right" vertical="top" wrapText="1" readingOrder="1"/>
      <protection locked="0"/>
    </xf>
    <xf numFmtId="196" fontId="36" fillId="7" borderId="9" xfId="8" applyNumberFormat="1" applyFont="1" applyFill="1" applyBorder="1" applyAlignment="1" applyProtection="1">
      <alignment horizontal="right" vertical="top" wrapText="1" readingOrder="1"/>
      <protection locked="0"/>
    </xf>
    <xf numFmtId="190" fontId="37" fillId="24" borderId="10" xfId="0" applyNumberFormat="1" applyFont="1" applyFill="1" applyBorder="1" applyAlignment="1" applyProtection="1">
      <alignment horizontal="right" vertical="top" wrapText="1" readingOrder="1"/>
      <protection locked="0"/>
    </xf>
    <xf numFmtId="196" fontId="37" fillId="24" borderId="40" xfId="8" applyNumberFormat="1" applyFont="1" applyFill="1" applyBorder="1" applyAlignment="1" applyProtection="1">
      <alignment horizontal="right" vertical="top" wrapText="1" readingOrder="1"/>
      <protection locked="0"/>
    </xf>
    <xf numFmtId="196" fontId="37" fillId="7" borderId="10" xfId="8" applyNumberFormat="1" applyFont="1" applyFill="1" applyBorder="1" applyAlignment="1" applyProtection="1">
      <alignment horizontal="right" vertical="top" wrapText="1" readingOrder="1"/>
      <protection locked="0"/>
    </xf>
    <xf numFmtId="196" fontId="54" fillId="0" borderId="10" xfId="6" applyNumberFormat="1" applyFont="1" applyFill="1" applyBorder="1" applyAlignment="1" applyProtection="1">
      <alignment horizontal="center" vertical="center" wrapText="1" readingOrder="1"/>
      <protection locked="0"/>
    </xf>
    <xf numFmtId="0" fontId="30" fillId="0" borderId="10" xfId="0" applyFont="1" applyBorder="1" applyAlignment="1">
      <alignment vertical="top" wrapText="1"/>
    </xf>
    <xf numFmtId="0" fontId="30" fillId="0" borderId="6" xfId="0" applyFont="1" applyBorder="1" applyAlignment="1">
      <alignment vertical="top" wrapText="1"/>
    </xf>
    <xf numFmtId="0" fontId="43" fillId="0" borderId="6" xfId="0" applyFont="1" applyBorder="1" applyAlignment="1">
      <alignment vertical="top" wrapText="1"/>
    </xf>
    <xf numFmtId="190" fontId="55" fillId="5" borderId="6" xfId="0" applyNumberFormat="1" applyFont="1" applyFill="1" applyBorder="1" applyAlignment="1" applyProtection="1">
      <alignment horizontal="right" vertical="top" wrapText="1" readingOrder="1"/>
      <protection locked="0"/>
    </xf>
    <xf numFmtId="196" fontId="55" fillId="5" borderId="6" xfId="8" applyNumberFormat="1" applyFont="1" applyFill="1" applyBorder="1" applyAlignment="1" applyProtection="1">
      <alignment horizontal="right" vertical="top" wrapText="1" readingOrder="1"/>
      <protection locked="0"/>
    </xf>
    <xf numFmtId="191" fontId="55" fillId="5" borderId="6" xfId="8" applyNumberFormat="1" applyFont="1" applyFill="1" applyBorder="1" applyAlignment="1" applyProtection="1">
      <alignment horizontal="right" vertical="top" wrapText="1" readingOrder="1"/>
      <protection locked="0"/>
    </xf>
    <xf numFmtId="0" fontId="37" fillId="5" borderId="69" xfId="0" applyFont="1" applyFill="1" applyBorder="1" applyAlignment="1" applyProtection="1">
      <alignment horizontal="center" vertical="top" wrapText="1" readingOrder="1"/>
      <protection locked="0"/>
    </xf>
    <xf numFmtId="0" fontId="37" fillId="5" borderId="6" xfId="0" applyFont="1" applyFill="1" applyBorder="1" applyAlignment="1" applyProtection="1">
      <alignment horizontal="center" vertical="top" wrapText="1" readingOrder="1"/>
      <protection locked="0"/>
    </xf>
    <xf numFmtId="190" fontId="36" fillId="5" borderId="6" xfId="0" applyNumberFormat="1" applyFont="1" applyFill="1" applyBorder="1" applyAlignment="1" applyProtection="1">
      <alignment horizontal="right" vertical="top" wrapText="1" readingOrder="1"/>
      <protection locked="0"/>
    </xf>
    <xf numFmtId="191" fontId="36" fillId="5" borderId="6" xfId="8" applyNumberFormat="1" applyFont="1" applyFill="1" applyBorder="1" applyAlignment="1" applyProtection="1">
      <alignment horizontal="right" vertical="top" wrapText="1" readingOrder="1"/>
      <protection locked="0"/>
    </xf>
    <xf numFmtId="196" fontId="36" fillId="5" borderId="6" xfId="8" applyNumberFormat="1" applyFont="1" applyFill="1" applyBorder="1" applyAlignment="1" applyProtection="1">
      <alignment horizontal="right" vertical="top" wrapText="1" readingOrder="1"/>
      <protection locked="0"/>
    </xf>
    <xf numFmtId="191" fontId="51" fillId="0" borderId="6" xfId="8" applyNumberFormat="1" applyFont="1" applyFill="1" applyBorder="1" applyAlignment="1" applyProtection="1">
      <alignment horizontal="center" vertical="center" wrapText="1" readingOrder="1"/>
      <protection locked="0"/>
    </xf>
    <xf numFmtId="190" fontId="29" fillId="2" borderId="6" xfId="0" applyNumberFormat="1" applyFont="1" applyFill="1" applyBorder="1" applyAlignment="1" applyProtection="1">
      <alignment horizontal="center" vertical="center" wrapText="1" readingOrder="1"/>
      <protection locked="0"/>
    </xf>
    <xf numFmtId="190" fontId="36" fillId="2" borderId="10" xfId="0" applyNumberFormat="1" applyFont="1" applyFill="1" applyBorder="1" applyAlignment="1" applyProtection="1">
      <alignment horizontal="center" vertical="center" wrapText="1" readingOrder="1"/>
      <protection locked="0"/>
    </xf>
    <xf numFmtId="195" fontId="62" fillId="20" borderId="6" xfId="8" applyNumberFormat="1" applyFont="1" applyFill="1" applyBorder="1" applyAlignment="1" applyProtection="1">
      <alignment horizontal="right" vertical="top" wrapText="1" readingOrder="1"/>
      <protection locked="0"/>
    </xf>
    <xf numFmtId="196" fontId="37" fillId="20" borderId="6" xfId="8" applyNumberFormat="1" applyFont="1" applyFill="1" applyBorder="1" applyAlignment="1" applyProtection="1">
      <alignment horizontal="right" vertical="top" wrapText="1" readingOrder="1"/>
      <protection locked="0"/>
    </xf>
    <xf numFmtId="196" fontId="51" fillId="20" borderId="6" xfId="8" applyNumberFormat="1" applyFont="1" applyFill="1" applyBorder="1" applyAlignment="1" applyProtection="1">
      <alignment horizontal="center" vertical="center" wrapText="1" readingOrder="1"/>
      <protection locked="0"/>
    </xf>
    <xf numFmtId="0" fontId="31" fillId="0" borderId="6" xfId="0" applyFont="1" applyBorder="1" applyAlignment="1" applyProtection="1">
      <alignment horizontal="center" vertical="top" wrapText="1" readingOrder="1"/>
      <protection locked="0"/>
    </xf>
    <xf numFmtId="0" fontId="36" fillId="0" borderId="6" xfId="0" applyFont="1" applyBorder="1" applyAlignment="1" applyProtection="1">
      <alignment horizontal="center" vertical="top" wrapText="1" readingOrder="1"/>
      <protection locked="0"/>
    </xf>
    <xf numFmtId="0" fontId="41" fillId="0" borderId="7" xfId="0" applyFont="1" applyBorder="1" applyAlignment="1" applyProtection="1">
      <alignment horizontal="center" vertical="center" wrapText="1" readingOrder="1"/>
      <protection locked="0"/>
    </xf>
    <xf numFmtId="191" fontId="51" fillId="33" borderId="6" xfId="8" applyNumberFormat="1" applyFont="1" applyFill="1" applyBorder="1" applyAlignment="1" applyProtection="1">
      <alignment horizontal="center" vertical="center" wrapText="1" readingOrder="1"/>
      <protection locked="0"/>
    </xf>
    <xf numFmtId="0" fontId="28" fillId="4" borderId="6" xfId="0" applyFont="1" applyFill="1" applyBorder="1" applyAlignment="1">
      <alignment vertical="center" wrapText="1"/>
    </xf>
    <xf numFmtId="0" fontId="50" fillId="0" borderId="0" xfId="0" applyFont="1" applyAlignment="1">
      <alignment vertical="top"/>
    </xf>
    <xf numFmtId="0" fontId="41" fillId="0" borderId="6" xfId="0" applyFont="1" applyBorder="1" applyAlignment="1" applyProtection="1">
      <alignment horizontal="center" vertical="center" wrapText="1" readingOrder="1"/>
      <protection locked="0"/>
    </xf>
    <xf numFmtId="10" fontId="36" fillId="24" borderId="6" xfId="8" applyNumberFormat="1" applyFont="1" applyFill="1" applyBorder="1" applyAlignment="1" applyProtection="1">
      <alignment horizontal="right" vertical="top" wrapText="1" readingOrder="1"/>
      <protection locked="0"/>
    </xf>
    <xf numFmtId="10" fontId="36" fillId="7" borderId="6" xfId="8" applyNumberFormat="1" applyFont="1" applyFill="1" applyBorder="1" applyAlignment="1" applyProtection="1">
      <alignment horizontal="right" vertical="top" wrapText="1" readingOrder="1"/>
      <protection locked="0"/>
    </xf>
    <xf numFmtId="191" fontId="36" fillId="24" borderId="6" xfId="8" applyNumberFormat="1" applyFont="1" applyFill="1" applyBorder="1" applyAlignment="1" applyProtection="1">
      <alignment horizontal="right" vertical="top" wrapText="1" readingOrder="1"/>
      <protection locked="0"/>
    </xf>
    <xf numFmtId="191" fontId="49" fillId="33" borderId="6" xfId="8" applyNumberFormat="1" applyFont="1" applyFill="1" applyBorder="1" applyAlignment="1" applyProtection="1">
      <alignment horizontal="center" vertical="center" wrapText="1" readingOrder="1"/>
      <protection locked="0"/>
    </xf>
    <xf numFmtId="190" fontId="36" fillId="7" borderId="6" xfId="0" applyNumberFormat="1" applyFont="1" applyFill="1" applyBorder="1" applyAlignment="1" applyProtection="1">
      <alignment horizontal="right" vertical="top" wrapText="1" readingOrder="1"/>
      <protection locked="0"/>
    </xf>
    <xf numFmtId="191" fontId="36" fillId="7" borderId="6" xfId="8" applyNumberFormat="1" applyFont="1" applyFill="1" applyBorder="1" applyAlignment="1" applyProtection="1">
      <alignment horizontal="right" vertical="top" wrapText="1" readingOrder="1"/>
      <protection locked="0"/>
    </xf>
    <xf numFmtId="0" fontId="37" fillId="0" borderId="69" xfId="0" applyFont="1" applyBorder="1" applyAlignment="1" applyProtection="1">
      <alignment vertical="top" wrapText="1" readingOrder="1"/>
      <protection locked="0"/>
    </xf>
    <xf numFmtId="0" fontId="36" fillId="0" borderId="6" xfId="0" applyFont="1" applyBorder="1" applyAlignment="1" applyProtection="1">
      <alignment horizontal="center" vertical="center" wrapText="1" readingOrder="1"/>
      <protection locked="0"/>
    </xf>
    <xf numFmtId="0" fontId="37" fillId="34" borderId="6" xfId="0" applyFont="1" applyFill="1" applyBorder="1" applyAlignment="1" applyProtection="1">
      <alignment vertical="top" wrapText="1" readingOrder="1"/>
      <protection locked="0"/>
    </xf>
    <xf numFmtId="190" fontId="41" fillId="24" borderId="6" xfId="0" applyNumberFormat="1" applyFont="1" applyFill="1" applyBorder="1" applyAlignment="1" applyProtection="1">
      <alignment horizontal="right" vertical="top" wrapText="1" readingOrder="1"/>
      <protection locked="0"/>
    </xf>
    <xf numFmtId="191" fontId="29" fillId="24" borderId="6" xfId="8" applyNumberFormat="1" applyFont="1" applyFill="1" applyBorder="1" applyAlignment="1" applyProtection="1">
      <alignment horizontal="right" vertical="top" wrapText="1" readingOrder="1"/>
      <protection locked="0"/>
    </xf>
    <xf numFmtId="191" fontId="29" fillId="7" borderId="6" xfId="8" applyNumberFormat="1" applyFont="1" applyFill="1" applyBorder="1" applyAlignment="1" applyProtection="1">
      <alignment horizontal="right" vertical="top" wrapText="1" readingOrder="1"/>
      <protection locked="0"/>
    </xf>
    <xf numFmtId="191" fontId="37" fillId="7" borderId="6" xfId="8" applyNumberFormat="1" applyFont="1" applyFill="1" applyBorder="1" applyAlignment="1" applyProtection="1">
      <alignment horizontal="right" vertical="top" wrapText="1" readingOrder="1"/>
      <protection locked="0"/>
    </xf>
    <xf numFmtId="0" fontId="28" fillId="0" borderId="0" xfId="0" applyFont="1" applyAlignment="1">
      <alignment vertical="center"/>
    </xf>
    <xf numFmtId="0" fontId="36" fillId="34" borderId="6" xfId="0" applyFont="1" applyFill="1" applyBorder="1" applyAlignment="1" applyProtection="1">
      <alignment horizontal="left" vertical="top" wrapText="1" readingOrder="1"/>
      <protection locked="0"/>
    </xf>
    <xf numFmtId="0" fontId="31" fillId="0" borderId="6" xfId="0" applyFont="1" applyBorder="1" applyAlignment="1" applyProtection="1">
      <alignment horizontal="center" vertical="center" wrapText="1" readingOrder="1"/>
      <protection locked="0"/>
    </xf>
    <xf numFmtId="190" fontId="37" fillId="24" borderId="6" xfId="0" applyNumberFormat="1" applyFont="1" applyFill="1" applyBorder="1" applyAlignment="1" applyProtection="1">
      <alignment horizontal="right" vertical="top" wrapText="1" readingOrder="1"/>
      <protection locked="0"/>
    </xf>
    <xf numFmtId="190" fontId="37" fillId="32" borderId="6" xfId="0" applyNumberFormat="1" applyFont="1" applyFill="1" applyBorder="1" applyAlignment="1" applyProtection="1">
      <alignment horizontal="right" vertical="top" wrapText="1" readingOrder="1"/>
      <protection locked="0"/>
    </xf>
    <xf numFmtId="0" fontId="37" fillId="12" borderId="6" xfId="0" applyFont="1" applyFill="1" applyBorder="1" applyAlignment="1" applyProtection="1">
      <alignment vertical="top" wrapText="1" readingOrder="1"/>
      <protection locked="0"/>
    </xf>
    <xf numFmtId="0" fontId="63" fillId="0" borderId="6" xfId="0" applyFont="1" applyBorder="1" applyAlignment="1" applyProtection="1">
      <alignment horizontal="center" vertical="center" wrapText="1" readingOrder="1"/>
      <protection locked="0"/>
    </xf>
    <xf numFmtId="190" fontId="41" fillId="7" borderId="6" xfId="0" applyNumberFormat="1" applyFont="1" applyFill="1" applyBorder="1" applyAlignment="1" applyProtection="1">
      <alignment horizontal="right" vertical="top" wrapText="1" readingOrder="1"/>
      <protection locked="0"/>
    </xf>
    <xf numFmtId="190" fontId="41" fillId="32" borderId="6" xfId="0" applyNumberFormat="1" applyFont="1" applyFill="1" applyBorder="1" applyAlignment="1" applyProtection="1">
      <alignment horizontal="right" vertical="top" wrapText="1" readingOrder="1"/>
      <protection locked="0"/>
    </xf>
    <xf numFmtId="190" fontId="40" fillId="24" borderId="6" xfId="0" applyNumberFormat="1" applyFont="1" applyFill="1" applyBorder="1" applyAlignment="1" applyProtection="1">
      <alignment horizontal="right" vertical="top" wrapText="1" readingOrder="1"/>
      <protection locked="0"/>
    </xf>
    <xf numFmtId="191" fontId="41" fillId="24" borderId="6" xfId="8" applyNumberFormat="1" applyFont="1" applyFill="1" applyBorder="1" applyAlignment="1" applyProtection="1">
      <alignment horizontal="right" vertical="top" wrapText="1" readingOrder="1"/>
      <protection locked="0"/>
    </xf>
    <xf numFmtId="191" fontId="41" fillId="7" borderId="6" xfId="8" applyNumberFormat="1" applyFont="1" applyFill="1" applyBorder="1" applyAlignment="1" applyProtection="1">
      <alignment horizontal="right" vertical="top" wrapText="1" readingOrder="1"/>
      <protection locked="0"/>
    </xf>
    <xf numFmtId="0" fontId="36" fillId="12" borderId="6" xfId="0" applyFont="1" applyFill="1" applyBorder="1" applyAlignment="1" applyProtection="1">
      <alignment vertical="top" wrapText="1" readingOrder="1"/>
      <protection locked="0"/>
    </xf>
    <xf numFmtId="190" fontId="29" fillId="19" borderId="70" xfId="0" applyNumberFormat="1" applyFont="1" applyFill="1" applyBorder="1" applyAlignment="1" applyProtection="1">
      <alignment horizontal="right" vertical="top" wrapText="1" readingOrder="1"/>
      <protection locked="0"/>
    </xf>
    <xf numFmtId="190" fontId="41" fillId="19" borderId="6" xfId="0" applyNumberFormat="1" applyFont="1" applyFill="1" applyBorder="1" applyAlignment="1" applyProtection="1">
      <alignment horizontal="center" vertical="top" wrapText="1" readingOrder="1"/>
      <protection locked="0"/>
    </xf>
    <xf numFmtId="0" fontId="28" fillId="20" borderId="6" xfId="0" applyFont="1" applyFill="1" applyBorder="1" applyAlignment="1">
      <alignment vertical="top" wrapText="1"/>
    </xf>
    <xf numFmtId="0" fontId="27" fillId="0" borderId="0" xfId="0" applyFont="1"/>
    <xf numFmtId="0" fontId="27" fillId="0" borderId="0" xfId="0" applyFont="1" applyAlignment="1">
      <alignment horizontal="center"/>
    </xf>
    <xf numFmtId="43" fontId="5" fillId="0" borderId="18" xfId="7" applyFont="1" applyBorder="1" applyAlignment="1" applyProtection="1">
      <alignment horizontal="right" vertical="center" wrapText="1" readingOrder="1"/>
      <protection locked="0"/>
    </xf>
    <xf numFmtId="187" fontId="36" fillId="24" borderId="6" xfId="2" applyFont="1" applyFill="1" applyBorder="1" applyAlignment="1" applyProtection="1">
      <alignment horizontal="right" vertical="top" wrapText="1" readingOrder="1"/>
      <protection locked="0"/>
    </xf>
    <xf numFmtId="187" fontId="36" fillId="7" borderId="6" xfId="2" applyFont="1" applyFill="1" applyBorder="1" applyAlignment="1" applyProtection="1">
      <alignment horizontal="right" vertical="top" wrapText="1" readingOrder="1"/>
      <protection locked="0"/>
    </xf>
    <xf numFmtId="191" fontId="54" fillId="4" borderId="6" xfId="6" applyNumberFormat="1" applyFont="1" applyFill="1" applyBorder="1" applyAlignment="1" applyProtection="1">
      <alignment horizontal="center" vertical="center" wrapText="1" readingOrder="1"/>
      <protection locked="0"/>
    </xf>
    <xf numFmtId="0" fontId="40" fillId="11" borderId="0" xfId="0" applyFont="1" applyFill="1" applyAlignment="1">
      <alignment vertical="center"/>
    </xf>
    <xf numFmtId="0" fontId="37" fillId="3" borderId="0" xfId="0" applyFont="1" applyFill="1" applyAlignment="1">
      <alignment horizontal="center" vertical="center" wrapText="1"/>
    </xf>
    <xf numFmtId="187" fontId="29" fillId="24" borderId="6" xfId="2" applyFont="1" applyFill="1" applyBorder="1" applyAlignment="1" applyProtection="1">
      <alignment horizontal="right" vertical="top" wrapText="1" readingOrder="1"/>
      <protection locked="0"/>
    </xf>
    <xf numFmtId="0" fontId="37" fillId="0" borderId="6" xfId="0" applyFont="1" applyBorder="1" applyAlignment="1" applyProtection="1">
      <alignment horizontal="left" vertical="top" wrapText="1" readingOrder="1"/>
      <protection locked="0"/>
    </xf>
    <xf numFmtId="187" fontId="41" fillId="7" borderId="6" xfId="2" applyFont="1" applyFill="1" applyBorder="1" applyAlignment="1" applyProtection="1">
      <alignment horizontal="right" vertical="top" wrapText="1" readingOrder="1"/>
      <protection locked="0"/>
    </xf>
    <xf numFmtId="187" fontId="58" fillId="24" borderId="6" xfId="2" applyFont="1" applyFill="1" applyBorder="1" applyAlignment="1" applyProtection="1">
      <alignment horizontal="right" vertical="top" wrapText="1" readingOrder="1"/>
      <protection locked="0"/>
    </xf>
    <xf numFmtId="187" fontId="59" fillId="7" borderId="6" xfId="2" applyFont="1" applyFill="1" applyBorder="1" applyAlignment="1" applyProtection="1">
      <alignment horizontal="right" vertical="top" wrapText="1" readingOrder="1"/>
      <protection locked="0"/>
    </xf>
    <xf numFmtId="187" fontId="57" fillId="7" borderId="6" xfId="2" applyFont="1" applyFill="1" applyBorder="1" applyAlignment="1" applyProtection="1">
      <alignment horizontal="right" vertical="top" wrapText="1" readingOrder="1"/>
      <protection locked="0"/>
    </xf>
    <xf numFmtId="187" fontId="37" fillId="24" borderId="7" xfId="2" applyFont="1" applyFill="1" applyBorder="1" applyAlignment="1" applyProtection="1">
      <alignment horizontal="right" vertical="top" wrapText="1" readingOrder="1"/>
      <protection locked="0"/>
    </xf>
    <xf numFmtId="187" fontId="36" fillId="7" borderId="7" xfId="2" applyFont="1" applyFill="1" applyBorder="1" applyAlignment="1" applyProtection="1">
      <alignment horizontal="right" vertical="top" wrapText="1" readingOrder="1"/>
      <protection locked="0"/>
    </xf>
    <xf numFmtId="187" fontId="29" fillId="24" borderId="7" xfId="2" applyFont="1" applyFill="1" applyBorder="1" applyAlignment="1" applyProtection="1">
      <alignment horizontal="right" vertical="top" wrapText="1" readingOrder="1"/>
      <protection locked="0"/>
    </xf>
    <xf numFmtId="187" fontId="37" fillId="24" borderId="10" xfId="2" applyFont="1" applyFill="1" applyBorder="1" applyAlignment="1" applyProtection="1">
      <alignment horizontal="right" vertical="top" wrapText="1" readingOrder="1"/>
      <protection locked="0"/>
    </xf>
    <xf numFmtId="187" fontId="36" fillId="7" borderId="10" xfId="2" applyFont="1" applyFill="1" applyBorder="1" applyAlignment="1" applyProtection="1">
      <alignment horizontal="right" vertical="top" wrapText="1" readingOrder="1"/>
      <protection locked="0"/>
    </xf>
    <xf numFmtId="187" fontId="29" fillId="24" borderId="10" xfId="2" applyFont="1" applyFill="1" applyBorder="1" applyAlignment="1" applyProtection="1">
      <alignment horizontal="right" vertical="top" wrapText="1" readingOrder="1"/>
      <protection locked="0"/>
    </xf>
    <xf numFmtId="187" fontId="55" fillId="5" borderId="6" xfId="2" applyFont="1" applyFill="1" applyBorder="1" applyAlignment="1" applyProtection="1">
      <alignment horizontal="right" vertical="top" wrapText="1" readingOrder="1"/>
      <protection locked="0"/>
    </xf>
    <xf numFmtId="187" fontId="36" fillId="5" borderId="6" xfId="2" applyFont="1" applyFill="1" applyBorder="1" applyAlignment="1" applyProtection="1">
      <alignment horizontal="right" vertical="top" wrapText="1" readingOrder="1"/>
      <protection locked="0"/>
    </xf>
    <xf numFmtId="0" fontId="43" fillId="12" borderId="6" xfId="0" applyFont="1" applyFill="1" applyBorder="1" applyAlignment="1">
      <alignment vertical="top" wrapText="1"/>
    </xf>
    <xf numFmtId="0" fontId="28" fillId="12" borderId="6" xfId="0" applyFont="1" applyFill="1" applyBorder="1" applyAlignment="1">
      <alignment wrapText="1"/>
    </xf>
    <xf numFmtId="0" fontId="28" fillId="12" borderId="6" xfId="0" applyFont="1" applyFill="1" applyBorder="1" applyAlignment="1">
      <alignment vertical="top" wrapText="1"/>
    </xf>
    <xf numFmtId="0" fontId="70" fillId="0" borderId="6" xfId="0" applyFont="1" applyBorder="1" applyAlignment="1">
      <alignment vertical="top" wrapText="1"/>
    </xf>
    <xf numFmtId="0" fontId="36" fillId="16" borderId="7" xfId="0" applyFont="1" applyFill="1" applyBorder="1" applyAlignment="1" applyProtection="1">
      <alignment horizontal="center" vertical="top" wrapText="1" readingOrder="1"/>
      <protection locked="0"/>
    </xf>
    <xf numFmtId="0" fontId="36" fillId="16" borderId="68" xfId="0" applyFont="1" applyFill="1" applyBorder="1" applyAlignment="1" applyProtection="1">
      <alignment horizontal="center" vertical="top" wrapText="1" readingOrder="1"/>
      <protection locked="0"/>
    </xf>
    <xf numFmtId="0" fontId="36" fillId="16" borderId="10" xfId="0" applyFont="1" applyFill="1" applyBorder="1" applyAlignment="1" applyProtection="1">
      <alignment horizontal="center" vertical="top" wrapText="1" readingOrder="1"/>
      <protection locked="0"/>
    </xf>
    <xf numFmtId="0" fontId="71" fillId="0" borderId="0" xfId="12" applyFont="1" applyAlignment="1" applyProtection="1">
      <alignment horizontal="center" vertical="top" wrapText="1" readingOrder="1"/>
      <protection locked="0"/>
    </xf>
    <xf numFmtId="0" fontId="73" fillId="0" borderId="0" xfId="12" applyFont="1"/>
    <xf numFmtId="0" fontId="71" fillId="0" borderId="0" xfId="12" applyFont="1" applyAlignment="1" applyProtection="1">
      <alignment horizontal="left" vertical="top" wrapText="1" readingOrder="1"/>
      <protection locked="0"/>
    </xf>
    <xf numFmtId="0" fontId="74" fillId="0" borderId="0" xfId="12" applyFont="1" applyAlignment="1" applyProtection="1">
      <alignment horizontal="center" vertical="top" wrapText="1" readingOrder="1"/>
      <protection locked="0"/>
    </xf>
    <xf numFmtId="0" fontId="71" fillId="35" borderId="26" xfId="12" applyFont="1" applyFill="1" applyBorder="1" applyAlignment="1" applyProtection="1">
      <alignment horizontal="center" vertical="top" wrapText="1" readingOrder="1"/>
      <protection locked="0"/>
    </xf>
    <xf numFmtId="0" fontId="74" fillId="35" borderId="26" xfId="12" applyFont="1" applyFill="1" applyBorder="1" applyAlignment="1" applyProtection="1">
      <alignment horizontal="center" vertical="top" wrapText="1" readingOrder="1"/>
      <protection locked="0"/>
    </xf>
    <xf numFmtId="0" fontId="73" fillId="32" borderId="0" xfId="12" applyFont="1" applyFill="1"/>
    <xf numFmtId="0" fontId="71" fillId="35" borderId="42" xfId="12" applyFont="1" applyFill="1" applyBorder="1" applyAlignment="1" applyProtection="1">
      <alignment horizontal="center" vertical="center" wrapText="1" readingOrder="1"/>
      <protection locked="0"/>
    </xf>
    <xf numFmtId="0" fontId="71" fillId="35" borderId="42" xfId="12" applyFont="1" applyFill="1" applyBorder="1" applyAlignment="1" applyProtection="1">
      <alignment horizontal="center" vertical="top" wrapText="1" readingOrder="1"/>
      <protection locked="0"/>
    </xf>
    <xf numFmtId="0" fontId="71" fillId="35" borderId="27" xfId="12" applyFont="1" applyFill="1" applyBorder="1" applyAlignment="1" applyProtection="1">
      <alignment horizontal="center" vertical="top" wrapText="1" readingOrder="1"/>
      <protection locked="0"/>
    </xf>
    <xf numFmtId="0" fontId="75" fillId="21" borderId="17" xfId="12" applyFont="1" applyFill="1" applyBorder="1" applyAlignment="1" applyProtection="1">
      <alignment vertical="top" wrapText="1" readingOrder="1"/>
      <protection locked="0"/>
    </xf>
    <xf numFmtId="0" fontId="75" fillId="21" borderId="17" xfId="12" applyFont="1" applyFill="1" applyBorder="1" applyAlignment="1" applyProtection="1">
      <alignment horizontal="center" vertical="top" wrapText="1" readingOrder="1"/>
      <protection locked="0"/>
    </xf>
    <xf numFmtId="190" fontId="75" fillId="21" borderId="17" xfId="12" applyNumberFormat="1" applyFont="1" applyFill="1" applyBorder="1" applyAlignment="1" applyProtection="1">
      <alignment horizontal="right" vertical="top" wrapText="1" readingOrder="1"/>
      <protection locked="0"/>
    </xf>
    <xf numFmtId="0" fontId="75" fillId="21" borderId="17" xfId="12" applyFont="1" applyFill="1" applyBorder="1" applyAlignment="1" applyProtection="1">
      <alignment horizontal="right" vertical="top" wrapText="1" readingOrder="1"/>
      <protection locked="0"/>
    </xf>
    <xf numFmtId="0" fontId="75" fillId="36" borderId="17" xfId="12" applyFont="1" applyFill="1" applyBorder="1" applyAlignment="1" applyProtection="1">
      <alignment horizontal="center" vertical="top" wrapText="1" readingOrder="1"/>
      <protection locked="0"/>
    </xf>
    <xf numFmtId="190" fontId="75" fillId="36" borderId="17" xfId="12" applyNumberFormat="1" applyFont="1" applyFill="1" applyBorder="1" applyAlignment="1" applyProtection="1">
      <alignment horizontal="right" vertical="top" wrapText="1" readingOrder="1"/>
      <protection locked="0"/>
    </xf>
    <xf numFmtId="0" fontId="75" fillId="36" borderId="17" xfId="12" applyFont="1" applyFill="1" applyBorder="1" applyAlignment="1" applyProtection="1">
      <alignment horizontal="right" vertical="top" wrapText="1" readingOrder="1"/>
      <protection locked="0"/>
    </xf>
    <xf numFmtId="0" fontId="1" fillId="0" borderId="0" xfId="12"/>
    <xf numFmtId="0" fontId="75" fillId="23" borderId="17" xfId="12" applyFont="1" applyFill="1" applyBorder="1" applyAlignment="1" applyProtection="1">
      <alignment vertical="top" wrapText="1" readingOrder="1"/>
      <protection locked="0"/>
    </xf>
    <xf numFmtId="0" fontId="75" fillId="23" borderId="17" xfId="12" applyFont="1" applyFill="1" applyBorder="1" applyAlignment="1" applyProtection="1">
      <alignment horizontal="center" vertical="top" wrapText="1" readingOrder="1"/>
      <protection locked="0"/>
    </xf>
    <xf numFmtId="190" fontId="75" fillId="23" borderId="17" xfId="12" applyNumberFormat="1" applyFont="1" applyFill="1" applyBorder="1" applyAlignment="1" applyProtection="1">
      <alignment horizontal="right" vertical="top" wrapText="1" readingOrder="1"/>
      <protection locked="0"/>
    </xf>
    <xf numFmtId="0" fontId="75" fillId="23" borderId="17" xfId="12" applyFont="1" applyFill="1" applyBorder="1" applyAlignment="1" applyProtection="1">
      <alignment horizontal="right" vertical="top" wrapText="1" readingOrder="1"/>
      <protection locked="0"/>
    </xf>
    <xf numFmtId="0" fontId="75" fillId="37" borderId="17" xfId="12" applyFont="1" applyFill="1" applyBorder="1" applyAlignment="1" applyProtection="1">
      <alignment horizontal="center" vertical="top" wrapText="1" readingOrder="1"/>
      <protection locked="0"/>
    </xf>
    <xf numFmtId="190" fontId="75" fillId="37" borderId="17" xfId="12" applyNumberFormat="1" applyFont="1" applyFill="1" applyBorder="1" applyAlignment="1" applyProtection="1">
      <alignment horizontal="right" vertical="top" wrapText="1" readingOrder="1"/>
      <protection locked="0"/>
    </xf>
    <xf numFmtId="0" fontId="75" fillId="37" borderId="17" xfId="12" applyFont="1" applyFill="1" applyBorder="1" applyAlignment="1" applyProtection="1">
      <alignment horizontal="right" vertical="top" wrapText="1" readingOrder="1"/>
      <protection locked="0"/>
    </xf>
    <xf numFmtId="0" fontId="75" fillId="0" borderId="17" xfId="12" applyFont="1" applyBorder="1" applyAlignment="1" applyProtection="1">
      <alignment horizontal="center" vertical="top" wrapText="1" readingOrder="1"/>
      <protection locked="0"/>
    </xf>
    <xf numFmtId="0" fontId="76" fillId="0" borderId="17" xfId="12" applyFont="1" applyBorder="1" applyAlignment="1" applyProtection="1">
      <alignment horizontal="center" vertical="top" wrapText="1" readingOrder="1"/>
      <protection locked="0"/>
    </xf>
    <xf numFmtId="0" fontId="75" fillId="0" borderId="17" xfId="12" applyFont="1" applyBorder="1" applyAlignment="1" applyProtection="1">
      <alignment vertical="top" wrapText="1" readingOrder="1"/>
      <protection locked="0"/>
    </xf>
    <xf numFmtId="190" fontId="75" fillId="0" borderId="17" xfId="12" applyNumberFormat="1" applyFont="1" applyBorder="1" applyAlignment="1" applyProtection="1">
      <alignment horizontal="right" vertical="top" wrapText="1" readingOrder="1"/>
      <protection locked="0"/>
    </xf>
    <xf numFmtId="0" fontId="75" fillId="0" borderId="17" xfId="12" applyFont="1" applyBorder="1" applyAlignment="1" applyProtection="1">
      <alignment horizontal="right" vertical="top" wrapText="1" readingOrder="1"/>
      <protection locked="0"/>
    </xf>
    <xf numFmtId="0" fontId="77" fillId="0" borderId="17" xfId="12" applyFont="1" applyBorder="1" applyAlignment="1" applyProtection="1">
      <alignment vertical="top" wrapText="1" readingOrder="1"/>
      <protection locked="0"/>
    </xf>
    <xf numFmtId="0" fontId="76" fillId="0" borderId="17" xfId="12" applyFont="1" applyBorder="1" applyAlignment="1" applyProtection="1">
      <alignment vertical="top" wrapText="1" readingOrder="1"/>
      <protection locked="0"/>
    </xf>
    <xf numFmtId="190" fontId="76" fillId="0" borderId="17" xfId="12" applyNumberFormat="1" applyFont="1" applyBorder="1" applyAlignment="1" applyProtection="1">
      <alignment horizontal="right" vertical="top" wrapText="1" readingOrder="1"/>
      <protection locked="0"/>
    </xf>
    <xf numFmtId="0" fontId="76" fillId="0" borderId="17" xfId="12" applyFont="1" applyBorder="1" applyAlignment="1" applyProtection="1">
      <alignment horizontal="left" vertical="top" wrapText="1" readingOrder="1"/>
      <protection locked="0"/>
    </xf>
    <xf numFmtId="0" fontId="75" fillId="0" borderId="17" xfId="12" applyFont="1" applyBorder="1" applyAlignment="1" applyProtection="1">
      <alignment horizontal="left" vertical="top" wrapText="1" readingOrder="1"/>
      <protection locked="0"/>
    </xf>
    <xf numFmtId="0" fontId="71" fillId="21" borderId="17" xfId="12" applyFont="1" applyFill="1" applyBorder="1" applyAlignment="1" applyProtection="1">
      <alignment vertical="top" wrapText="1" readingOrder="1"/>
      <protection locked="0"/>
    </xf>
    <xf numFmtId="0" fontId="71" fillId="21" borderId="17" xfId="12" applyFont="1" applyFill="1" applyBorder="1" applyAlignment="1" applyProtection="1">
      <alignment horizontal="center" vertical="top" wrapText="1" readingOrder="1"/>
      <protection locked="0"/>
    </xf>
    <xf numFmtId="190" fontId="71" fillId="21" borderId="17" xfId="12" applyNumberFormat="1" applyFont="1" applyFill="1" applyBorder="1" applyAlignment="1" applyProtection="1">
      <alignment horizontal="right" vertical="top" wrapText="1" readingOrder="1"/>
      <protection locked="0"/>
    </xf>
    <xf numFmtId="0" fontId="71" fillId="21" borderId="17" xfId="12" applyFont="1" applyFill="1" applyBorder="1" applyAlignment="1" applyProtection="1">
      <alignment horizontal="right" vertical="top" wrapText="1" readingOrder="1"/>
      <protection locked="0"/>
    </xf>
    <xf numFmtId="0" fontId="72" fillId="21" borderId="17" xfId="12" applyFont="1" applyFill="1" applyBorder="1" applyAlignment="1" applyProtection="1">
      <alignment horizontal="center" vertical="top" wrapText="1" readingOrder="1"/>
      <protection locked="0"/>
    </xf>
    <xf numFmtId="190" fontId="72" fillId="21" borderId="17" xfId="12" applyNumberFormat="1" applyFont="1" applyFill="1" applyBorder="1" applyAlignment="1" applyProtection="1">
      <alignment horizontal="right" vertical="top" wrapText="1" readingOrder="1"/>
      <protection locked="0"/>
    </xf>
    <xf numFmtId="0" fontId="72" fillId="21" borderId="17" xfId="12" applyFont="1" applyFill="1" applyBorder="1" applyAlignment="1" applyProtection="1">
      <alignment horizontal="right" vertical="top" wrapText="1" readingOrder="1"/>
      <protection locked="0"/>
    </xf>
    <xf numFmtId="0" fontId="5" fillId="0" borderId="7" xfId="1" applyFont="1" applyBorder="1" applyAlignment="1" applyProtection="1">
      <alignment horizontal="center" vertical="center" wrapText="1" readingOrder="1"/>
      <protection locked="0"/>
    </xf>
    <xf numFmtId="0" fontId="5" fillId="0" borderId="17" xfId="1" applyFont="1" applyBorder="1" applyAlignment="1" applyProtection="1">
      <alignment horizontal="center" vertical="center" wrapText="1" readingOrder="1"/>
      <protection locked="0"/>
    </xf>
    <xf numFmtId="193" fontId="5" fillId="0" borderId="71" xfId="1" applyNumberFormat="1" applyFont="1" applyBorder="1" applyAlignment="1" applyProtection="1">
      <alignment horizontal="right" vertical="center" wrapText="1" readingOrder="1"/>
      <protection locked="0"/>
    </xf>
    <xf numFmtId="193" fontId="5" fillId="5" borderId="71" xfId="1" applyNumberFormat="1" applyFont="1" applyFill="1" applyBorder="1" applyAlignment="1" applyProtection="1">
      <alignment horizontal="right" vertical="center" wrapText="1" readingOrder="1"/>
      <protection locked="0"/>
    </xf>
    <xf numFmtId="193" fontId="5" fillId="4" borderId="71" xfId="1" applyNumberFormat="1" applyFont="1" applyFill="1" applyBorder="1" applyAlignment="1" applyProtection="1">
      <alignment horizontal="right" vertical="center" wrapText="1" readingOrder="1"/>
      <protection locked="0"/>
    </xf>
    <xf numFmtId="43" fontId="5" fillId="0" borderId="71" xfId="7" applyFont="1" applyBorder="1" applyAlignment="1" applyProtection="1">
      <alignment horizontal="right" vertical="center" wrapText="1" readingOrder="1"/>
      <protection locked="0"/>
    </xf>
    <xf numFmtId="0" fontId="5" fillId="5" borderId="6" xfId="1" applyFont="1" applyFill="1" applyBorder="1" applyAlignment="1" applyProtection="1">
      <alignment horizontal="center" vertical="center" wrapText="1" readingOrder="1"/>
      <protection locked="0"/>
    </xf>
    <xf numFmtId="193" fontId="5" fillId="5" borderId="2" xfId="1" applyNumberFormat="1" applyFont="1" applyFill="1" applyBorder="1" applyAlignment="1" applyProtection="1">
      <alignment horizontal="right" vertical="center" wrapText="1" readingOrder="1"/>
      <protection locked="0"/>
    </xf>
    <xf numFmtId="43" fontId="5" fillId="5" borderId="18" xfId="7" applyFont="1" applyFill="1" applyBorder="1" applyAlignment="1" applyProtection="1">
      <alignment horizontal="right" vertical="center" wrapText="1" readingOrder="1"/>
      <protection locked="0"/>
    </xf>
    <xf numFmtId="188" fontId="9" fillId="5" borderId="55" xfId="2" applyNumberFormat="1" applyFont="1" applyFill="1" applyBorder="1" applyAlignment="1" applyProtection="1">
      <alignment horizontal="right" vertical="center" wrapText="1" readingOrder="1"/>
      <protection locked="0"/>
    </xf>
    <xf numFmtId="43" fontId="5" fillId="5" borderId="2" xfId="7" applyFont="1" applyFill="1" applyBorder="1" applyAlignment="1" applyProtection="1">
      <alignment horizontal="right" vertical="center" wrapText="1" readingOrder="1"/>
      <protection locked="0"/>
    </xf>
    <xf numFmtId="0" fontId="11" fillId="0" borderId="0" xfId="1" applyFont="1" applyAlignment="1">
      <alignment vertical="center"/>
    </xf>
    <xf numFmtId="43" fontId="5" fillId="5" borderId="6" xfId="7" applyFont="1" applyFill="1" applyBorder="1" applyAlignment="1" applyProtection="1">
      <alignment horizontal="right" vertical="center" wrapText="1" readingOrder="1"/>
      <protection locked="0"/>
    </xf>
    <xf numFmtId="192" fontId="5" fillId="5" borderId="18" xfId="7" applyNumberFormat="1" applyFont="1" applyFill="1" applyBorder="1" applyAlignment="1" applyProtection="1">
      <alignment horizontal="right" vertical="center" wrapText="1" readingOrder="1"/>
      <protection locked="0"/>
    </xf>
    <xf numFmtId="43" fontId="5" fillId="5" borderId="71" xfId="7" applyFont="1" applyFill="1" applyBorder="1" applyAlignment="1" applyProtection="1">
      <alignment horizontal="right" vertical="center" wrapText="1" readingOrder="1"/>
      <protection locked="0"/>
    </xf>
    <xf numFmtId="0" fontId="5" fillId="5" borderId="3" xfId="1" applyFont="1" applyFill="1" applyBorder="1" applyAlignment="1" applyProtection="1">
      <alignment horizontal="center" vertical="center" wrapText="1" readingOrder="1"/>
      <protection locked="0"/>
    </xf>
    <xf numFmtId="43" fontId="5" fillId="5" borderId="3" xfId="7" applyFont="1" applyFill="1" applyBorder="1" applyAlignment="1" applyProtection="1">
      <alignment horizontal="center" vertical="center" wrapText="1" readingOrder="1"/>
      <protection locked="0"/>
    </xf>
    <xf numFmtId="0" fontId="80" fillId="0" borderId="0" xfId="1" applyFont="1" applyAlignment="1">
      <alignment vertical="center"/>
    </xf>
    <xf numFmtId="0" fontId="1" fillId="0" borderId="0" xfId="1" applyAlignment="1">
      <alignment vertical="center"/>
    </xf>
    <xf numFmtId="0" fontId="78" fillId="0" borderId="0" xfId="1" applyFont="1" applyAlignment="1">
      <alignment vertical="center"/>
    </xf>
    <xf numFmtId="188" fontId="78" fillId="0" borderId="0" xfId="1" applyNumberFormat="1" applyFont="1" applyAlignment="1">
      <alignment vertical="center"/>
    </xf>
    <xf numFmtId="0" fontId="80" fillId="0" borderId="0" xfId="1" applyFont="1" applyAlignment="1">
      <alignment horizontal="center" vertical="center" wrapText="1"/>
    </xf>
    <xf numFmtId="0" fontId="4" fillId="5" borderId="2" xfId="1" applyFont="1" applyFill="1" applyBorder="1"/>
    <xf numFmtId="0" fontId="10" fillId="5" borderId="2" xfId="4" applyFill="1" applyBorder="1" applyAlignment="1" applyProtection="1">
      <alignment horizontal="center" vertical="center" wrapText="1" readingOrder="1"/>
      <protection locked="0"/>
    </xf>
    <xf numFmtId="0" fontId="10" fillId="5" borderId="9" xfId="4" applyFill="1" applyBorder="1" applyAlignment="1" applyProtection="1">
      <alignment horizontal="center" vertical="center" wrapText="1" readingOrder="1"/>
      <protection locked="0"/>
    </xf>
    <xf numFmtId="193" fontId="5" fillId="0" borderId="81" xfId="1" applyNumberFormat="1" applyFont="1" applyBorder="1" applyAlignment="1" applyProtection="1">
      <alignment horizontal="right" vertical="center" wrapText="1" readingOrder="1"/>
      <protection locked="0"/>
    </xf>
    <xf numFmtId="193" fontId="5" fillId="0" borderId="48" xfId="1" applyNumberFormat="1" applyFont="1" applyBorder="1" applyAlignment="1" applyProtection="1">
      <alignment horizontal="right" vertical="center" wrapText="1" readingOrder="1"/>
      <protection locked="0"/>
    </xf>
    <xf numFmtId="188" fontId="5" fillId="7" borderId="6" xfId="2" applyNumberFormat="1" applyFont="1" applyFill="1" applyBorder="1" applyAlignment="1" applyProtection="1">
      <alignment horizontal="right" vertical="center" wrapText="1" readingOrder="1"/>
      <protection locked="0"/>
    </xf>
    <xf numFmtId="193" fontId="5" fillId="5" borderId="81" xfId="1" applyNumberFormat="1" applyFont="1" applyFill="1" applyBorder="1" applyAlignment="1" applyProtection="1">
      <alignment horizontal="right" vertical="center" wrapText="1" readingOrder="1"/>
      <protection locked="0"/>
    </xf>
    <xf numFmtId="193" fontId="5" fillId="5" borderId="32" xfId="1" applyNumberFormat="1" applyFont="1" applyFill="1" applyBorder="1" applyAlignment="1" applyProtection="1">
      <alignment horizontal="right" vertical="center" wrapText="1" readingOrder="1"/>
      <protection locked="0"/>
    </xf>
    <xf numFmtId="188" fontId="5" fillId="8" borderId="6" xfId="2" applyNumberFormat="1" applyFont="1" applyFill="1" applyBorder="1" applyAlignment="1" applyProtection="1">
      <alignment horizontal="right" vertical="center" wrapText="1" readingOrder="1"/>
      <protection locked="0"/>
    </xf>
    <xf numFmtId="0" fontId="81" fillId="0" borderId="0" xfId="1" applyFont="1" applyAlignment="1" applyProtection="1">
      <alignment horizontal="center" vertical="center" wrapText="1" readingOrder="1"/>
      <protection locked="0"/>
    </xf>
    <xf numFmtId="0" fontId="81" fillId="0" borderId="7" xfId="1" applyFont="1" applyBorder="1" applyAlignment="1" applyProtection="1">
      <alignment horizontal="center" vertical="center" wrapText="1" readingOrder="1"/>
      <protection locked="0"/>
    </xf>
    <xf numFmtId="0" fontId="82" fillId="0" borderId="0" xfId="0" applyFont="1"/>
    <xf numFmtId="193" fontId="5" fillId="0" borderId="13" xfId="1" applyNumberFormat="1" applyFont="1" applyBorder="1" applyAlignment="1" applyProtection="1">
      <alignment horizontal="right" vertical="center" wrapText="1" readingOrder="1"/>
      <protection locked="0"/>
    </xf>
    <xf numFmtId="43" fontId="5" fillId="0" borderId="6" xfId="7" applyFont="1" applyFill="1" applyBorder="1" applyAlignment="1" applyProtection="1">
      <alignment horizontal="right" vertical="center" wrapText="1" readingOrder="1"/>
      <protection locked="0"/>
    </xf>
    <xf numFmtId="194" fontId="5" fillId="7" borderId="6" xfId="2" applyNumberFormat="1" applyFont="1" applyFill="1" applyBorder="1" applyAlignment="1" applyProtection="1">
      <alignment horizontal="right" vertical="center" wrapText="1" readingOrder="1"/>
      <protection locked="0"/>
    </xf>
    <xf numFmtId="194" fontId="83" fillId="0" borderId="6" xfId="2" applyNumberFormat="1" applyFont="1" applyFill="1" applyBorder="1" applyAlignment="1" applyProtection="1">
      <alignment horizontal="right" vertical="center" wrapText="1" readingOrder="1"/>
      <protection locked="0"/>
    </xf>
    <xf numFmtId="194" fontId="83" fillId="5" borderId="6" xfId="2" applyNumberFormat="1" applyFont="1" applyFill="1" applyBorder="1" applyAlignment="1" applyProtection="1">
      <alignment horizontal="right" vertical="center" wrapText="1" readingOrder="1"/>
      <protection locked="0"/>
    </xf>
    <xf numFmtId="191" fontId="83" fillId="0" borderId="19" xfId="1" applyNumberFormat="1" applyFont="1" applyBorder="1" applyAlignment="1" applyProtection="1">
      <alignment horizontal="left" vertical="center" wrapText="1" readingOrder="1"/>
      <protection locked="0"/>
    </xf>
    <xf numFmtId="189" fontId="7" fillId="4" borderId="82" xfId="3" applyNumberFormat="1" applyFont="1" applyFill="1" applyBorder="1" applyAlignment="1" applyProtection="1">
      <alignment vertical="center" wrapText="1" readingOrder="1"/>
      <protection locked="0"/>
    </xf>
    <xf numFmtId="189" fontId="5" fillId="4" borderId="82" xfId="3" applyNumberFormat="1" applyFont="1" applyFill="1" applyBorder="1" applyAlignment="1" applyProtection="1">
      <alignment vertical="center" wrapText="1" readingOrder="1"/>
      <protection locked="0"/>
    </xf>
    <xf numFmtId="189" fontId="83" fillId="4" borderId="82" xfId="3" applyNumberFormat="1" applyFont="1" applyFill="1" applyBorder="1" applyAlignment="1" applyProtection="1">
      <alignment vertical="center" wrapText="1" readingOrder="1"/>
      <protection locked="0"/>
    </xf>
    <xf numFmtId="191" fontId="84" fillId="5" borderId="23" xfId="1" applyNumberFormat="1" applyFont="1" applyFill="1" applyBorder="1" applyAlignment="1" applyProtection="1">
      <alignment vertical="center" wrapText="1" readingOrder="1"/>
      <protection locked="0"/>
    </xf>
    <xf numFmtId="191" fontId="84" fillId="5" borderId="19" xfId="1" applyNumberFormat="1" applyFont="1" applyFill="1" applyBorder="1" applyAlignment="1" applyProtection="1">
      <alignment horizontal="left" vertical="center" wrapText="1" readingOrder="1"/>
      <protection locked="0"/>
    </xf>
    <xf numFmtId="194" fontId="84" fillId="5" borderId="6" xfId="2" applyNumberFormat="1" applyFont="1" applyFill="1" applyBorder="1" applyAlignment="1" applyProtection="1">
      <alignment horizontal="right" vertical="center" wrapText="1" readingOrder="1"/>
      <protection locked="0"/>
    </xf>
    <xf numFmtId="189" fontId="84" fillId="4" borderId="82" xfId="3" applyNumberFormat="1" applyFont="1" applyFill="1" applyBorder="1" applyAlignment="1" applyProtection="1">
      <alignment vertical="center" wrapText="1" readingOrder="1"/>
      <protection locked="0"/>
    </xf>
    <xf numFmtId="189" fontId="84" fillId="5" borderId="82" xfId="3" applyNumberFormat="1" applyFont="1" applyFill="1" applyBorder="1" applyAlignment="1" applyProtection="1">
      <alignment vertical="center" wrapText="1" readingOrder="1"/>
      <protection locked="0"/>
    </xf>
    <xf numFmtId="190" fontId="84" fillId="5" borderId="6" xfId="1" applyNumberFormat="1" applyFont="1" applyFill="1" applyBorder="1" applyAlignment="1" applyProtection="1">
      <alignment horizontal="center" vertical="center" wrapText="1" readingOrder="1"/>
      <protection locked="0"/>
    </xf>
    <xf numFmtId="194" fontId="84" fillId="0" borderId="6" xfId="2" applyNumberFormat="1" applyFont="1" applyFill="1" applyBorder="1" applyAlignment="1" applyProtection="1">
      <alignment horizontal="right" vertical="center" wrapText="1" readingOrder="1"/>
      <protection locked="0"/>
    </xf>
    <xf numFmtId="190" fontId="5" fillId="0" borderId="6" xfId="1" applyNumberFormat="1" applyFont="1" applyBorder="1" applyAlignment="1" applyProtection="1">
      <alignment horizontal="center" vertical="center" wrapText="1" readingOrder="1"/>
      <protection locked="0"/>
    </xf>
    <xf numFmtId="0" fontId="5" fillId="9" borderId="25" xfId="1" applyFont="1" applyFill="1" applyBorder="1" applyAlignment="1" applyProtection="1">
      <alignment horizontal="center" vertical="center" wrapText="1" readingOrder="1"/>
      <protection locked="0"/>
    </xf>
    <xf numFmtId="193" fontId="9" fillId="5" borderId="71" xfId="1" applyNumberFormat="1" applyFont="1" applyFill="1" applyBorder="1" applyAlignment="1" applyProtection="1">
      <alignment horizontal="right" vertical="center" wrapText="1" readingOrder="1"/>
      <protection locked="0"/>
    </xf>
    <xf numFmtId="193" fontId="9" fillId="0" borderId="71" xfId="1" applyNumberFormat="1" applyFont="1" applyBorder="1" applyAlignment="1" applyProtection="1">
      <alignment horizontal="right" vertical="center" wrapText="1" readingOrder="1"/>
      <protection locked="0"/>
    </xf>
    <xf numFmtId="0" fontId="88" fillId="0" borderId="0" xfId="1" applyFont="1" applyAlignment="1">
      <alignment horizontal="center" vertical="center"/>
    </xf>
    <xf numFmtId="0" fontId="88" fillId="0" borderId="0" xfId="1" applyFont="1" applyAlignment="1">
      <alignment vertical="center"/>
    </xf>
    <xf numFmtId="0" fontId="83" fillId="0" borderId="0" xfId="1" applyFont="1" applyAlignment="1">
      <alignment vertical="center"/>
    </xf>
    <xf numFmtId="191" fontId="84" fillId="0" borderId="19" xfId="1" applyNumberFormat="1" applyFont="1" applyBorder="1" applyAlignment="1" applyProtection="1">
      <alignment horizontal="left" vertical="center" wrapText="1" readingOrder="1"/>
      <protection locked="0"/>
    </xf>
    <xf numFmtId="191" fontId="83" fillId="0" borderId="23" xfId="1" applyNumberFormat="1" applyFont="1" applyBorder="1" applyAlignment="1" applyProtection="1">
      <alignment vertical="center" wrapText="1" readingOrder="1"/>
      <protection locked="0"/>
    </xf>
    <xf numFmtId="0" fontId="6" fillId="0" borderId="17" xfId="1" applyFont="1" applyBorder="1" applyAlignment="1" applyProtection="1">
      <alignment horizontal="center" vertical="center" wrapText="1" readingOrder="1"/>
      <protection locked="0"/>
    </xf>
    <xf numFmtId="191" fontId="5" fillId="0" borderId="23" xfId="1" applyNumberFormat="1" applyFont="1" applyBorder="1" applyAlignment="1" applyProtection="1">
      <alignment vertical="center" wrapText="1" readingOrder="1"/>
      <protection locked="0"/>
    </xf>
    <xf numFmtId="190" fontId="5" fillId="5" borderId="23" xfId="1" applyNumberFormat="1" applyFont="1" applyFill="1" applyBorder="1" applyAlignment="1" applyProtection="1">
      <alignment horizontal="left" vertical="center" wrapText="1" readingOrder="1"/>
      <protection locked="0"/>
    </xf>
    <xf numFmtId="191" fontId="5" fillId="0" borderId="19" xfId="1" applyNumberFormat="1" applyFont="1" applyBorder="1" applyAlignment="1" applyProtection="1">
      <alignment horizontal="left" vertical="center" wrapText="1" readingOrder="1"/>
      <protection locked="0"/>
    </xf>
    <xf numFmtId="191" fontId="84" fillId="0" borderId="12" xfId="1" applyNumberFormat="1" applyFont="1" applyBorder="1" applyAlignment="1" applyProtection="1">
      <alignment vertical="center" wrapText="1" readingOrder="1"/>
      <protection locked="0"/>
    </xf>
    <xf numFmtId="191" fontId="5" fillId="0" borderId="12" xfId="1" applyNumberFormat="1" applyFont="1" applyBorder="1" applyAlignment="1" applyProtection="1">
      <alignment vertical="center" wrapText="1" readingOrder="1"/>
      <protection locked="0"/>
    </xf>
    <xf numFmtId="0" fontId="88" fillId="0" borderId="0" xfId="1" applyFont="1" applyAlignment="1">
      <alignment vertical="center" wrapText="1"/>
    </xf>
    <xf numFmtId="190" fontId="83" fillId="5" borderId="6" xfId="1" applyNumberFormat="1" applyFont="1" applyFill="1" applyBorder="1" applyAlignment="1" applyProtection="1">
      <alignment horizontal="center" vertical="center" wrapText="1" readingOrder="1"/>
      <protection locked="0"/>
    </xf>
    <xf numFmtId="0" fontId="78" fillId="5" borderId="20" xfId="1" applyFont="1" applyFill="1" applyBorder="1" applyAlignment="1" applyProtection="1">
      <alignment horizontal="center" vertical="center" wrapText="1" readingOrder="1"/>
      <protection locked="0"/>
    </xf>
    <xf numFmtId="0" fontId="8" fillId="8" borderId="16" xfId="1" applyFont="1" applyFill="1" applyBorder="1" applyAlignment="1" applyProtection="1">
      <alignment vertical="center" wrapText="1" readingOrder="1"/>
      <protection locked="0"/>
    </xf>
    <xf numFmtId="192" fontId="8" fillId="8" borderId="0" xfId="7" applyNumberFormat="1" applyFont="1" applyFill="1" applyBorder="1" applyAlignment="1" applyProtection="1">
      <alignment vertical="center" wrapText="1" readingOrder="1"/>
      <protection locked="0"/>
    </xf>
    <xf numFmtId="0" fontId="8" fillId="8" borderId="0" xfId="1" applyFont="1" applyFill="1" applyAlignment="1" applyProtection="1">
      <alignment vertical="center" wrapText="1" readingOrder="1"/>
      <protection locked="0"/>
    </xf>
    <xf numFmtId="192" fontId="8" fillId="8" borderId="0" xfId="7" applyNumberFormat="1" applyFont="1" applyFill="1" applyAlignment="1" applyProtection="1">
      <alignment vertical="center" wrapText="1" readingOrder="1"/>
      <protection locked="0"/>
    </xf>
    <xf numFmtId="0" fontId="8" fillId="8" borderId="2" xfId="1" applyFont="1" applyFill="1" applyBorder="1" applyAlignment="1" applyProtection="1">
      <alignment horizontal="center" vertical="center" wrapText="1" readingOrder="1"/>
      <protection locked="0"/>
    </xf>
    <xf numFmtId="192" fontId="8" fillId="8" borderId="2" xfId="7" applyNumberFormat="1" applyFont="1" applyFill="1" applyBorder="1" applyAlignment="1" applyProtection="1">
      <alignment horizontal="center" vertical="center" wrapText="1" readingOrder="1"/>
      <protection locked="0"/>
    </xf>
    <xf numFmtId="0" fontId="8" fillId="0" borderId="2" xfId="1" applyFont="1" applyBorder="1" applyAlignment="1" applyProtection="1">
      <alignment horizontal="center" vertical="center" wrapText="1"/>
      <protection locked="0"/>
    </xf>
    <xf numFmtId="192" fontId="8" fillId="0" borderId="2" xfId="7" applyNumberFormat="1" applyFont="1" applyBorder="1" applyAlignment="1" applyProtection="1">
      <alignment horizontal="center" vertical="center" wrapText="1"/>
      <protection locked="0"/>
    </xf>
    <xf numFmtId="192" fontId="8" fillId="0" borderId="2" xfId="7" applyNumberFormat="1" applyFont="1" applyFill="1" applyBorder="1" applyAlignment="1" applyProtection="1">
      <alignment horizontal="center" vertical="center" wrapText="1"/>
      <protection locked="0"/>
    </xf>
    <xf numFmtId="0" fontId="8" fillId="0" borderId="8" xfId="1" applyFont="1" applyBorder="1" applyAlignment="1" applyProtection="1">
      <alignment horizontal="center" vertical="center" wrapText="1"/>
      <protection locked="0"/>
    </xf>
    <xf numFmtId="192" fontId="8" fillId="0" borderId="8" xfId="7" applyNumberFormat="1" applyFont="1" applyBorder="1" applyAlignment="1" applyProtection="1">
      <alignment horizontal="center" vertical="center" wrapText="1"/>
      <protection locked="0"/>
    </xf>
    <xf numFmtId="0" fontId="8" fillId="5" borderId="2" xfId="1" applyFont="1" applyFill="1" applyBorder="1" applyAlignment="1" applyProtection="1">
      <alignment horizontal="center" vertical="center" wrapText="1"/>
      <protection locked="0"/>
    </xf>
    <xf numFmtId="192" fontId="8" fillId="5" borderId="8" xfId="7" applyNumberFormat="1" applyFont="1" applyFill="1" applyBorder="1" applyAlignment="1" applyProtection="1">
      <alignment horizontal="center" vertical="center" wrapText="1"/>
      <protection locked="0"/>
    </xf>
    <xf numFmtId="43" fontId="8" fillId="5" borderId="2" xfId="7" applyFont="1" applyFill="1" applyBorder="1" applyAlignment="1" applyProtection="1">
      <alignment horizontal="center" vertical="center" wrapText="1"/>
      <protection locked="0"/>
    </xf>
    <xf numFmtId="0" fontId="8" fillId="5" borderId="2" xfId="1" applyFont="1" applyFill="1" applyBorder="1" applyAlignment="1" applyProtection="1">
      <alignment horizontal="center" vertical="center"/>
      <protection locked="0"/>
    </xf>
    <xf numFmtId="192" fontId="8" fillId="5" borderId="2" xfId="7" applyNumberFormat="1" applyFont="1" applyFill="1" applyBorder="1" applyAlignment="1" applyProtection="1">
      <alignment horizontal="center" vertical="center"/>
      <protection locked="0"/>
    </xf>
    <xf numFmtId="192" fontId="8" fillId="5" borderId="2" xfId="7" applyNumberFormat="1" applyFont="1" applyFill="1" applyBorder="1" applyAlignment="1" applyProtection="1">
      <alignment horizontal="center" vertical="center" wrapText="1"/>
      <protection locked="0"/>
    </xf>
    <xf numFmtId="193" fontId="8" fillId="5" borderId="18" xfId="1" applyNumberFormat="1" applyFont="1" applyFill="1" applyBorder="1" applyAlignment="1" applyProtection="1">
      <alignment horizontal="right" vertical="center" wrapText="1" readingOrder="1"/>
      <protection locked="0"/>
    </xf>
    <xf numFmtId="0" fontId="8" fillId="8" borderId="13" xfId="1" applyFont="1" applyFill="1" applyBorder="1" applyAlignment="1" applyProtection="1">
      <alignment vertical="center" readingOrder="1"/>
      <protection locked="0"/>
    </xf>
    <xf numFmtId="192" fontId="8" fillId="8" borderId="13" xfId="7" applyNumberFormat="1" applyFont="1" applyFill="1" applyBorder="1" applyAlignment="1" applyProtection="1">
      <alignment vertical="center" readingOrder="1"/>
      <protection locked="0"/>
    </xf>
    <xf numFmtId="0" fontId="18" fillId="0" borderId="0" xfId="0" applyFont="1"/>
    <xf numFmtId="192" fontId="18" fillId="0" borderId="0" xfId="7" applyNumberFormat="1" applyFont="1"/>
    <xf numFmtId="189" fontId="83" fillId="5" borderId="82" xfId="3" applyNumberFormat="1" applyFont="1" applyFill="1" applyBorder="1" applyAlignment="1" applyProtection="1">
      <alignment vertical="center" wrapText="1" readingOrder="1"/>
      <protection locked="0"/>
    </xf>
    <xf numFmtId="190" fontId="84" fillId="0" borderId="6" xfId="1" applyNumberFormat="1" applyFont="1" applyBorder="1" applyAlignment="1" applyProtection="1">
      <alignment horizontal="center" vertical="center" wrapText="1" readingOrder="1"/>
      <protection locked="0"/>
    </xf>
    <xf numFmtId="189" fontId="5" fillId="5" borderId="82" xfId="3" applyNumberFormat="1" applyFont="1" applyFill="1" applyBorder="1" applyAlignment="1" applyProtection="1">
      <alignment vertical="center" wrapText="1" readingOrder="1"/>
      <protection locked="0"/>
    </xf>
    <xf numFmtId="190" fontId="5" fillId="4" borderId="6" xfId="1" applyNumberFormat="1" applyFont="1" applyFill="1" applyBorder="1" applyAlignment="1" applyProtection="1">
      <alignment horizontal="center" vertical="center" wrapText="1" readingOrder="1"/>
      <protection locked="0"/>
    </xf>
    <xf numFmtId="0" fontId="88" fillId="0" borderId="0" xfId="1" applyFont="1" applyAlignment="1">
      <alignment horizontal="left" vertical="center"/>
    </xf>
    <xf numFmtId="190" fontId="84" fillId="5" borderId="24" xfId="1" applyNumberFormat="1" applyFont="1" applyFill="1" applyBorder="1" applyAlignment="1" applyProtection="1">
      <alignment horizontal="left" vertical="center" wrapText="1" readingOrder="1"/>
      <protection locked="0"/>
    </xf>
    <xf numFmtId="194" fontId="84" fillId="4" borderId="6" xfId="2" applyNumberFormat="1" applyFont="1" applyFill="1" applyBorder="1" applyAlignment="1" applyProtection="1">
      <alignment horizontal="right" vertical="center" wrapText="1" readingOrder="1"/>
      <protection locked="0"/>
    </xf>
    <xf numFmtId="190" fontId="84" fillId="4" borderId="6" xfId="1" applyNumberFormat="1" applyFont="1" applyFill="1" applyBorder="1" applyAlignment="1" applyProtection="1">
      <alignment horizontal="center" vertical="center" wrapText="1" readingOrder="1"/>
      <protection locked="0"/>
    </xf>
    <xf numFmtId="191" fontId="84" fillId="4" borderId="24" xfId="1" applyNumberFormat="1" applyFont="1" applyFill="1" applyBorder="1" applyAlignment="1" applyProtection="1">
      <alignment horizontal="left" vertical="center" wrapText="1" readingOrder="1"/>
      <protection locked="0"/>
    </xf>
    <xf numFmtId="190" fontId="83" fillId="5" borderId="12" xfId="1" applyNumberFormat="1" applyFont="1" applyFill="1" applyBorder="1" applyAlignment="1" applyProtection="1">
      <alignment vertical="center" wrapText="1" readingOrder="1"/>
      <protection locked="0"/>
    </xf>
    <xf numFmtId="190" fontId="84" fillId="0" borderId="24" xfId="1" applyNumberFormat="1" applyFont="1" applyBorder="1" applyAlignment="1" applyProtection="1">
      <alignment horizontal="left" vertical="center" wrapText="1" readingOrder="1"/>
      <protection locked="0"/>
    </xf>
    <xf numFmtId="9" fontId="84" fillId="0" borderId="12" xfId="3" applyFont="1" applyFill="1" applyBorder="1" applyAlignment="1" applyProtection="1">
      <alignment horizontal="left" vertical="center" wrapText="1" readingOrder="1"/>
      <protection locked="0"/>
    </xf>
    <xf numFmtId="43" fontId="84" fillId="0" borderId="6" xfId="7" applyFont="1" applyFill="1" applyBorder="1" applyAlignment="1" applyProtection="1">
      <alignment horizontal="right" vertical="center" wrapText="1" readingOrder="1"/>
      <protection locked="0"/>
    </xf>
    <xf numFmtId="194" fontId="83" fillId="4" borderId="6" xfId="2" applyNumberFormat="1" applyFont="1" applyFill="1" applyBorder="1" applyAlignment="1" applyProtection="1">
      <alignment horizontal="right" vertical="center" wrapText="1" readingOrder="1"/>
      <protection locked="0"/>
    </xf>
    <xf numFmtId="191" fontId="84" fillId="5" borderId="24" xfId="1" applyNumberFormat="1" applyFont="1" applyFill="1" applyBorder="1" applyAlignment="1" applyProtection="1">
      <alignment horizontal="left" vertical="center" wrapText="1" readingOrder="1"/>
      <protection locked="0"/>
    </xf>
    <xf numFmtId="191" fontId="5" fillId="5" borderId="24" xfId="1" applyNumberFormat="1" applyFont="1" applyFill="1" applyBorder="1" applyAlignment="1" applyProtection="1">
      <alignment horizontal="left" vertical="center" wrapText="1" readingOrder="1"/>
      <protection locked="0"/>
    </xf>
    <xf numFmtId="190" fontId="83" fillId="4" borderId="6" xfId="1" applyNumberFormat="1" applyFont="1" applyFill="1" applyBorder="1" applyAlignment="1" applyProtection="1">
      <alignment horizontal="center" vertical="center" wrapText="1" readingOrder="1"/>
      <protection locked="0"/>
    </xf>
    <xf numFmtId="191" fontId="83" fillId="4" borderId="24" xfId="1" applyNumberFormat="1" applyFont="1" applyFill="1" applyBorder="1" applyAlignment="1" applyProtection="1">
      <alignment horizontal="left" vertical="center" wrapText="1" readingOrder="1"/>
      <protection locked="0"/>
    </xf>
    <xf numFmtId="189" fontId="7" fillId="7" borderId="82" xfId="3" applyNumberFormat="1" applyFont="1" applyFill="1" applyBorder="1" applyAlignment="1" applyProtection="1">
      <alignment vertical="center" wrapText="1" readingOrder="1"/>
      <protection locked="0"/>
    </xf>
    <xf numFmtId="9" fontId="84" fillId="5" borderId="12" xfId="3" applyFont="1" applyFill="1" applyBorder="1" applyAlignment="1" applyProtection="1">
      <alignment horizontal="left" vertical="center" wrapText="1" readingOrder="1"/>
      <protection locked="0"/>
    </xf>
    <xf numFmtId="0" fontId="78" fillId="0" borderId="0" xfId="1" applyFont="1" applyAlignment="1">
      <alignment horizontal="right" vertical="center"/>
    </xf>
    <xf numFmtId="194" fontId="83" fillId="7" borderId="6" xfId="2" applyNumberFormat="1" applyFont="1" applyFill="1" applyBorder="1" applyAlignment="1" applyProtection="1">
      <alignment horizontal="right" vertical="center" wrapText="1" readingOrder="1"/>
      <protection locked="0"/>
    </xf>
    <xf numFmtId="189" fontId="83" fillId="7" borderId="82" xfId="3" applyNumberFormat="1" applyFont="1" applyFill="1" applyBorder="1" applyAlignment="1" applyProtection="1">
      <alignment vertical="center" wrapText="1" readingOrder="1"/>
      <protection locked="0"/>
    </xf>
    <xf numFmtId="190" fontId="83" fillId="7" borderId="6" xfId="1" applyNumberFormat="1" applyFont="1" applyFill="1" applyBorder="1" applyAlignment="1" applyProtection="1">
      <alignment horizontal="center" vertical="center" wrapText="1" readingOrder="1"/>
      <protection locked="0"/>
    </xf>
    <xf numFmtId="191" fontId="83" fillId="7" borderId="24" xfId="1" applyNumberFormat="1" applyFont="1" applyFill="1" applyBorder="1" applyAlignment="1" applyProtection="1">
      <alignment horizontal="left" vertical="center" wrapText="1" readingOrder="1"/>
      <protection locked="0"/>
    </xf>
    <xf numFmtId="0" fontId="80" fillId="0" borderId="0" xfId="1" applyFont="1" applyAlignment="1">
      <alignment vertical="center" wrapText="1"/>
    </xf>
    <xf numFmtId="0" fontId="83" fillId="11" borderId="6" xfId="1" applyFont="1" applyFill="1" applyBorder="1" applyAlignment="1" applyProtection="1">
      <alignment horizontal="center" vertical="center" wrapText="1" readingOrder="1"/>
      <protection locked="0"/>
    </xf>
    <xf numFmtId="0" fontId="9" fillId="8" borderId="2" xfId="1" applyFont="1" applyFill="1" applyBorder="1" applyAlignment="1" applyProtection="1">
      <alignment horizontal="center" vertical="center" wrapText="1" readingOrder="1"/>
      <protection locked="0"/>
    </xf>
    <xf numFmtId="192" fontId="9" fillId="8" borderId="2" xfId="7" applyNumberFormat="1" applyFont="1" applyFill="1" applyBorder="1" applyAlignment="1" applyProtection="1">
      <alignment horizontal="center" vertical="center" wrapText="1" readingOrder="1"/>
      <protection locked="0"/>
    </xf>
    <xf numFmtId="0" fontId="9" fillId="0" borderId="2" xfId="1" applyFont="1" applyBorder="1" applyAlignment="1" applyProtection="1">
      <alignment horizontal="center" vertical="center" wrapText="1"/>
      <protection locked="0"/>
    </xf>
    <xf numFmtId="192" fontId="9" fillId="0" borderId="2" xfId="7" applyNumberFormat="1" applyFont="1" applyBorder="1" applyAlignment="1" applyProtection="1">
      <alignment horizontal="center" vertical="center" wrapText="1"/>
      <protection locked="0"/>
    </xf>
    <xf numFmtId="0" fontId="9" fillId="4" borderId="8" xfId="1" applyFont="1" applyFill="1" applyBorder="1" applyAlignment="1" applyProtection="1">
      <alignment horizontal="center" vertical="center" wrapText="1"/>
      <protection locked="0"/>
    </xf>
    <xf numFmtId="192" fontId="9" fillId="11" borderId="2" xfId="7" applyNumberFormat="1" applyFont="1" applyFill="1" applyBorder="1" applyAlignment="1" applyProtection="1">
      <alignment horizontal="center" vertical="center" wrapText="1"/>
      <protection locked="0"/>
    </xf>
    <xf numFmtId="0" fontId="80" fillId="0" borderId="0" xfId="1" applyFont="1" applyAlignment="1">
      <alignment horizontal="left" vertical="center" wrapText="1"/>
    </xf>
    <xf numFmtId="0" fontId="11" fillId="0" borderId="0" xfId="1" applyFont="1"/>
    <xf numFmtId="0" fontId="89" fillId="0" borderId="18" xfId="6" applyFont="1" applyBorder="1" applyAlignment="1" applyProtection="1">
      <alignment horizontal="center" vertical="center" wrapText="1" readingOrder="1"/>
      <protection locked="0"/>
    </xf>
    <xf numFmtId="0" fontId="11" fillId="0" borderId="17" xfId="1" applyFont="1" applyBorder="1" applyAlignment="1" applyProtection="1">
      <alignment horizontal="center" vertical="center" wrapText="1" readingOrder="1"/>
      <protection locked="0"/>
    </xf>
    <xf numFmtId="0" fontId="89" fillId="0" borderId="17" xfId="6" applyFont="1" applyBorder="1" applyAlignment="1" applyProtection="1">
      <alignment horizontal="center" vertical="center" wrapText="1" readingOrder="1"/>
      <protection locked="0"/>
    </xf>
    <xf numFmtId="0" fontId="5" fillId="5" borderId="7" xfId="1" applyFont="1" applyFill="1" applyBorder="1" applyAlignment="1" applyProtection="1">
      <alignment horizontal="center" vertical="center" wrapText="1" readingOrder="1"/>
      <protection locked="0"/>
    </xf>
    <xf numFmtId="191" fontId="84" fillId="4" borderId="19" xfId="1" applyNumberFormat="1" applyFont="1" applyFill="1" applyBorder="1" applyAlignment="1" applyProtection="1">
      <alignment horizontal="left" vertical="center" wrapText="1" readingOrder="1"/>
      <protection locked="0"/>
    </xf>
    <xf numFmtId="192" fontId="9" fillId="4" borderId="2" xfId="7" applyNumberFormat="1" applyFont="1" applyFill="1" applyBorder="1" applyAlignment="1" applyProtection="1">
      <alignment horizontal="center" vertical="center" wrapText="1"/>
      <protection locked="0"/>
    </xf>
    <xf numFmtId="194" fontId="84" fillId="0" borderId="7" xfId="2" applyNumberFormat="1" applyFont="1" applyFill="1" applyBorder="1" applyAlignment="1" applyProtection="1">
      <alignment horizontal="right" vertical="center" wrapText="1" readingOrder="1"/>
      <protection locked="0"/>
    </xf>
    <xf numFmtId="189" fontId="84" fillId="4" borderId="83" xfId="3" applyNumberFormat="1" applyFont="1" applyFill="1" applyBorder="1" applyAlignment="1" applyProtection="1">
      <alignment vertical="center" wrapText="1" readingOrder="1"/>
      <protection locked="0"/>
    </xf>
    <xf numFmtId="190" fontId="84" fillId="5" borderId="7" xfId="1" applyNumberFormat="1" applyFont="1" applyFill="1" applyBorder="1" applyAlignment="1" applyProtection="1">
      <alignment horizontal="center" vertical="center" wrapText="1" readingOrder="1"/>
      <protection locked="0"/>
    </xf>
    <xf numFmtId="189" fontId="83" fillId="4" borderId="6" xfId="3" applyNumberFormat="1" applyFont="1" applyFill="1" applyBorder="1" applyAlignment="1" applyProtection="1">
      <alignment vertical="center" wrapText="1" readingOrder="1"/>
      <protection locked="0"/>
    </xf>
    <xf numFmtId="194" fontId="84" fillId="0" borderId="10" xfId="2" applyNumberFormat="1" applyFont="1" applyFill="1" applyBorder="1" applyAlignment="1" applyProtection="1">
      <alignment horizontal="right" vertical="center" wrapText="1" readingOrder="1"/>
      <protection locked="0"/>
    </xf>
    <xf numFmtId="189" fontId="84" fillId="4" borderId="84" xfId="3" applyNumberFormat="1" applyFont="1" applyFill="1" applyBorder="1" applyAlignment="1" applyProtection="1">
      <alignment vertical="center" wrapText="1" readingOrder="1"/>
      <protection locked="0"/>
    </xf>
    <xf numFmtId="190" fontId="84" fillId="5" borderId="10" xfId="1" applyNumberFormat="1" applyFont="1" applyFill="1" applyBorder="1" applyAlignment="1" applyProtection="1">
      <alignment horizontal="center" vertical="center" wrapText="1" readingOrder="1"/>
      <protection locked="0"/>
    </xf>
    <xf numFmtId="191" fontId="84" fillId="0" borderId="24" xfId="1" applyNumberFormat="1" applyFont="1" applyBorder="1" applyAlignment="1" applyProtection="1">
      <alignment horizontal="left" vertical="center" wrapText="1" readingOrder="1"/>
      <protection locked="0"/>
    </xf>
    <xf numFmtId="191" fontId="84" fillId="0" borderId="23" xfId="1" applyNumberFormat="1" applyFont="1" applyBorder="1" applyAlignment="1" applyProtection="1">
      <alignment vertical="center" wrapText="1" readingOrder="1"/>
      <protection locked="0"/>
    </xf>
    <xf numFmtId="192" fontId="9" fillId="4" borderId="8" xfId="7" applyNumberFormat="1" applyFont="1" applyFill="1" applyBorder="1" applyAlignment="1" applyProtection="1">
      <alignment horizontal="center" vertical="center" wrapText="1"/>
      <protection locked="0"/>
    </xf>
    <xf numFmtId="191" fontId="5" fillId="5" borderId="12" xfId="1" applyNumberFormat="1" applyFont="1" applyFill="1" applyBorder="1" applyAlignment="1" applyProtection="1">
      <alignment vertical="center" wrapText="1" readingOrder="1"/>
      <protection locked="0"/>
    </xf>
    <xf numFmtId="191" fontId="5" fillId="5" borderId="23" xfId="1" applyNumberFormat="1" applyFont="1" applyFill="1" applyBorder="1" applyAlignment="1" applyProtection="1">
      <alignment vertical="center" wrapText="1" readingOrder="1"/>
      <protection locked="0"/>
    </xf>
    <xf numFmtId="191" fontId="5" fillId="5" borderId="19" xfId="1" applyNumberFormat="1" applyFont="1" applyFill="1" applyBorder="1" applyAlignment="1" applyProtection="1">
      <alignment horizontal="left" vertical="center" wrapText="1" readingOrder="1"/>
      <protection locked="0"/>
    </xf>
    <xf numFmtId="0" fontId="90" fillId="0" borderId="7" xfId="6" applyFont="1" applyBorder="1" applyAlignment="1" applyProtection="1">
      <alignment horizontal="center" vertical="center" wrapText="1" readingOrder="1"/>
      <protection locked="0"/>
    </xf>
    <xf numFmtId="191" fontId="5" fillId="4" borderId="23" xfId="1" applyNumberFormat="1" applyFont="1" applyFill="1" applyBorder="1" applyAlignment="1" applyProtection="1">
      <alignment horizontal="left" vertical="center" wrapText="1" readingOrder="1"/>
      <protection locked="0"/>
    </xf>
    <xf numFmtId="194" fontId="84" fillId="8" borderId="6" xfId="2" applyNumberFormat="1" applyFont="1" applyFill="1" applyBorder="1" applyAlignment="1" applyProtection="1">
      <alignment horizontal="right" vertical="center" wrapText="1" readingOrder="1"/>
      <protection locked="0"/>
    </xf>
    <xf numFmtId="189" fontId="84" fillId="7" borderId="82" xfId="3" applyNumberFormat="1" applyFont="1" applyFill="1" applyBorder="1" applyAlignment="1" applyProtection="1">
      <alignment vertical="center" wrapText="1" readingOrder="1"/>
      <protection locked="0"/>
    </xf>
    <xf numFmtId="191" fontId="84" fillId="8" borderId="24" xfId="1" applyNumberFormat="1" applyFont="1" applyFill="1" applyBorder="1" applyAlignment="1" applyProtection="1">
      <alignment horizontal="left" vertical="center" wrapText="1" readingOrder="1"/>
      <protection locked="0"/>
    </xf>
    <xf numFmtId="192" fontId="5" fillId="7" borderId="3" xfId="7" applyNumberFormat="1" applyFont="1" applyFill="1" applyBorder="1" applyAlignment="1" applyProtection="1">
      <alignment horizontal="center" vertical="center" wrapText="1" readingOrder="1"/>
      <protection locked="0"/>
    </xf>
    <xf numFmtId="43" fontId="4" fillId="0" borderId="0" xfId="7" applyFont="1" applyAlignment="1">
      <alignment vertical="center"/>
    </xf>
    <xf numFmtId="43" fontId="5" fillId="4" borderId="82" xfId="7" applyFont="1" applyFill="1" applyBorder="1" applyAlignment="1" applyProtection="1">
      <alignment vertical="center" wrapText="1" readingOrder="1"/>
      <protection locked="0"/>
    </xf>
    <xf numFmtId="43" fontId="7" fillId="4" borderId="82" xfId="7" applyFont="1" applyFill="1" applyBorder="1" applyAlignment="1" applyProtection="1">
      <alignment vertical="center" wrapText="1" readingOrder="1"/>
      <protection locked="0"/>
    </xf>
    <xf numFmtId="43" fontId="5" fillId="5" borderId="82" xfId="7" applyFont="1" applyFill="1" applyBorder="1" applyAlignment="1" applyProtection="1">
      <alignment vertical="center" wrapText="1" readingOrder="1"/>
      <protection locked="0"/>
    </xf>
    <xf numFmtId="0" fontId="5" fillId="0" borderId="18" xfId="1" applyFont="1" applyBorder="1" applyAlignment="1" applyProtection="1">
      <alignment horizontal="center" vertical="center" wrapText="1" readingOrder="1"/>
      <protection locked="0"/>
    </xf>
    <xf numFmtId="0" fontId="11" fillId="0" borderId="59" xfId="1" applyFont="1" applyBorder="1"/>
    <xf numFmtId="0" fontId="4" fillId="0" borderId="37" xfId="1" applyFont="1" applyBorder="1"/>
    <xf numFmtId="193" fontId="5" fillId="0" borderId="61" xfId="1" applyNumberFormat="1" applyFont="1" applyBorder="1" applyAlignment="1" applyProtection="1">
      <alignment horizontal="right" vertical="center" wrapText="1" readingOrder="1"/>
      <protection locked="0"/>
    </xf>
    <xf numFmtId="191" fontId="9" fillId="4" borderId="19" xfId="1" applyNumberFormat="1" applyFont="1" applyFill="1" applyBorder="1" applyAlignment="1" applyProtection="1">
      <alignment horizontal="left" vertical="center" wrapText="1" readingOrder="1"/>
      <protection locked="0"/>
    </xf>
    <xf numFmtId="43" fontId="5" fillId="0" borderId="85" xfId="7" applyFont="1" applyBorder="1" applyAlignment="1" applyProtection="1">
      <alignment horizontal="right" vertical="center" wrapText="1" readingOrder="1"/>
      <protection locked="0"/>
    </xf>
    <xf numFmtId="189" fontId="5" fillId="7" borderId="82" xfId="3" applyNumberFormat="1" applyFont="1" applyFill="1" applyBorder="1" applyAlignment="1" applyProtection="1">
      <alignment vertical="center" wrapText="1" readingOrder="1"/>
      <protection locked="0"/>
    </xf>
    <xf numFmtId="189" fontId="5" fillId="4" borderId="83" xfId="3" applyNumberFormat="1" applyFont="1" applyFill="1" applyBorder="1" applyAlignment="1" applyProtection="1">
      <alignment vertical="center" wrapText="1" readingOrder="1"/>
      <protection locked="0"/>
    </xf>
    <xf numFmtId="189" fontId="5" fillId="4" borderId="6" xfId="3" applyNumberFormat="1" applyFont="1" applyFill="1" applyBorder="1" applyAlignment="1" applyProtection="1">
      <alignment vertical="center" wrapText="1" readingOrder="1"/>
      <protection locked="0"/>
    </xf>
    <xf numFmtId="189" fontId="5" fillId="4" borderId="84" xfId="3" applyNumberFormat="1" applyFont="1" applyFill="1" applyBorder="1" applyAlignment="1" applyProtection="1">
      <alignment vertical="center" wrapText="1" readingOrder="1"/>
      <protection locked="0"/>
    </xf>
    <xf numFmtId="189" fontId="5" fillId="0" borderId="21" xfId="3" applyNumberFormat="1" applyFont="1" applyFill="1" applyBorder="1" applyAlignment="1" applyProtection="1">
      <alignment vertical="center" wrapText="1" readingOrder="1"/>
      <protection locked="0"/>
    </xf>
    <xf numFmtId="188" fontId="9" fillId="8" borderId="88" xfId="2" applyNumberFormat="1" applyFont="1" applyFill="1" applyBorder="1" applyAlignment="1" applyProtection="1">
      <alignment horizontal="right" vertical="center" wrapText="1" readingOrder="1"/>
      <protection locked="0"/>
    </xf>
    <xf numFmtId="194" fontId="84" fillId="8" borderId="89" xfId="2" applyNumberFormat="1" applyFont="1" applyFill="1" applyBorder="1" applyAlignment="1" applyProtection="1">
      <alignment horizontal="right" vertical="center" wrapText="1" readingOrder="1"/>
      <protection locked="0"/>
    </xf>
    <xf numFmtId="189" fontId="84" fillId="7" borderId="90" xfId="3" applyNumberFormat="1" applyFont="1" applyFill="1" applyBorder="1" applyAlignment="1" applyProtection="1">
      <alignment vertical="center" wrapText="1" readingOrder="1"/>
      <protection locked="0"/>
    </xf>
    <xf numFmtId="190" fontId="5" fillId="5" borderId="89" xfId="1" applyNumberFormat="1" applyFont="1" applyFill="1" applyBorder="1" applyAlignment="1" applyProtection="1">
      <alignment horizontal="center" vertical="center" wrapText="1" readingOrder="1"/>
      <protection locked="0"/>
    </xf>
    <xf numFmtId="191" fontId="84" fillId="8" borderId="91" xfId="1" applyNumberFormat="1" applyFont="1" applyFill="1" applyBorder="1" applyAlignment="1" applyProtection="1">
      <alignment horizontal="left" vertical="center" wrapText="1" readingOrder="1"/>
      <protection locked="0"/>
    </xf>
    <xf numFmtId="191" fontId="83" fillId="0" borderId="92" xfId="1" applyNumberFormat="1" applyFont="1" applyBorder="1" applyAlignment="1" applyProtection="1">
      <alignment vertical="center" wrapText="1" readingOrder="1"/>
      <protection locked="0"/>
    </xf>
    <xf numFmtId="0" fontId="90" fillId="0" borderId="6" xfId="6" applyFont="1" applyBorder="1" applyAlignment="1" applyProtection="1">
      <alignment horizontal="center" vertical="center" wrapText="1" readingOrder="1"/>
      <protection locked="0"/>
    </xf>
    <xf numFmtId="43" fontId="5" fillId="0" borderId="93" xfId="7" applyFont="1" applyBorder="1" applyAlignment="1" applyProtection="1">
      <alignment horizontal="right" vertical="center" wrapText="1" readingOrder="1"/>
      <protection locked="0"/>
    </xf>
    <xf numFmtId="43" fontId="5" fillId="0" borderId="28" xfId="7" applyFont="1" applyBorder="1" applyAlignment="1" applyProtection="1">
      <alignment horizontal="right" vertical="center" wrapText="1" readingOrder="1"/>
      <protection locked="0"/>
    </xf>
    <xf numFmtId="189" fontId="5" fillId="4" borderId="94" xfId="3" applyNumberFormat="1" applyFont="1" applyFill="1" applyBorder="1" applyAlignment="1" applyProtection="1">
      <alignment vertical="center" wrapText="1" readingOrder="1"/>
      <protection locked="0"/>
    </xf>
    <xf numFmtId="188" fontId="9" fillId="0" borderId="55" xfId="2" applyNumberFormat="1" applyFont="1" applyFill="1" applyBorder="1" applyAlignment="1" applyProtection="1">
      <alignment horizontal="right" vertical="center" wrapText="1" readingOrder="1"/>
      <protection locked="0"/>
    </xf>
    <xf numFmtId="189" fontId="84" fillId="4" borderId="94" xfId="3" applyNumberFormat="1" applyFont="1" applyFill="1" applyBorder="1" applyAlignment="1" applyProtection="1">
      <alignment vertical="center" wrapText="1" readingOrder="1"/>
      <protection locked="0"/>
    </xf>
    <xf numFmtId="191" fontId="84" fillId="0" borderId="95" xfId="1" applyNumberFormat="1" applyFont="1" applyBorder="1" applyAlignment="1" applyProtection="1">
      <alignment horizontal="left" vertical="center" wrapText="1" readingOrder="1"/>
      <protection locked="0"/>
    </xf>
    <xf numFmtId="0" fontId="6" fillId="0" borderId="63" xfId="1" applyFont="1" applyBorder="1" applyAlignment="1" applyProtection="1">
      <alignment horizontal="center" vertical="center" wrapText="1" readingOrder="1"/>
      <protection locked="0"/>
    </xf>
    <xf numFmtId="188" fontId="6" fillId="0" borderId="34" xfId="2" applyNumberFormat="1" applyFont="1" applyFill="1" applyBorder="1" applyAlignment="1" applyProtection="1">
      <alignment horizontal="center" vertical="center" wrapText="1" readingOrder="1"/>
      <protection locked="0"/>
    </xf>
    <xf numFmtId="43" fontId="5" fillId="0" borderId="50" xfId="7" applyFont="1" applyBorder="1" applyAlignment="1" applyProtection="1">
      <alignment horizontal="right" vertical="center" wrapText="1" readingOrder="1"/>
      <protection locked="0"/>
    </xf>
    <xf numFmtId="43" fontId="5" fillId="0" borderId="46" xfId="7" applyFont="1" applyBorder="1" applyAlignment="1" applyProtection="1">
      <alignment horizontal="right" vertical="center" wrapText="1" readingOrder="1"/>
      <protection locked="0"/>
    </xf>
    <xf numFmtId="189" fontId="5" fillId="4" borderId="70" xfId="3" applyNumberFormat="1" applyFont="1" applyFill="1" applyBorder="1" applyAlignment="1" applyProtection="1">
      <alignment vertical="center" wrapText="1" readingOrder="1"/>
      <protection locked="0"/>
    </xf>
    <xf numFmtId="189" fontId="84" fillId="4" borderId="70" xfId="3" applyNumberFormat="1" applyFont="1" applyFill="1" applyBorder="1" applyAlignment="1" applyProtection="1">
      <alignment vertical="center" wrapText="1" readingOrder="1"/>
      <protection locked="0"/>
    </xf>
    <xf numFmtId="191" fontId="84" fillId="0" borderId="96" xfId="1" applyNumberFormat="1" applyFont="1" applyBorder="1" applyAlignment="1" applyProtection="1">
      <alignment horizontal="left" vertical="center" wrapText="1" readingOrder="1"/>
      <protection locked="0"/>
    </xf>
    <xf numFmtId="0" fontId="6" fillId="0" borderId="64" xfId="1" applyFont="1" applyBorder="1" applyAlignment="1" applyProtection="1">
      <alignment horizontal="center" vertical="center" wrapText="1" readingOrder="1"/>
      <protection locked="0"/>
    </xf>
    <xf numFmtId="188" fontId="6" fillId="0" borderId="97" xfId="2" applyNumberFormat="1" applyFont="1" applyFill="1" applyBorder="1" applyAlignment="1" applyProtection="1">
      <alignment horizontal="center" vertical="center" wrapText="1" readingOrder="1"/>
      <protection locked="0"/>
    </xf>
    <xf numFmtId="194" fontId="14" fillId="0" borderId="0" xfId="1" applyNumberFormat="1" applyFont="1" applyAlignment="1">
      <alignment vertical="center"/>
    </xf>
    <xf numFmtId="188" fontId="14" fillId="0" borderId="0" xfId="1" applyNumberFormat="1" applyFont="1" applyAlignment="1">
      <alignment vertical="center"/>
    </xf>
    <xf numFmtId="0" fontId="5" fillId="28" borderId="7" xfId="1" applyFont="1" applyFill="1" applyBorder="1" applyAlignment="1" applyProtection="1">
      <alignment horizontal="center" vertical="center" wrapText="1" readingOrder="1"/>
      <protection locked="0"/>
    </xf>
    <xf numFmtId="0" fontId="8" fillId="28" borderId="2" xfId="1" applyFont="1" applyFill="1" applyBorder="1" applyAlignment="1" applyProtection="1">
      <alignment horizontal="center" vertical="center" wrapText="1"/>
      <protection locked="0"/>
    </xf>
    <xf numFmtId="192" fontId="8" fillId="28" borderId="2" xfId="7" applyNumberFormat="1" applyFont="1" applyFill="1" applyBorder="1" applyAlignment="1" applyProtection="1">
      <alignment horizontal="center" vertical="center" wrapText="1"/>
      <protection locked="0"/>
    </xf>
    <xf numFmtId="0" fontId="9" fillId="28" borderId="2" xfId="1" applyFont="1" applyFill="1" applyBorder="1" applyAlignment="1" applyProtection="1">
      <alignment horizontal="center" vertical="center" wrapText="1"/>
      <protection locked="0"/>
    </xf>
    <xf numFmtId="192" fontId="9" fillId="28" borderId="2" xfId="7" applyNumberFormat="1" applyFont="1" applyFill="1" applyBorder="1" applyAlignment="1" applyProtection="1">
      <alignment horizontal="center" vertical="center" wrapText="1"/>
      <protection locked="0"/>
    </xf>
    <xf numFmtId="43" fontId="5" fillId="28" borderId="71" xfId="7" applyFont="1" applyFill="1" applyBorder="1" applyAlignment="1" applyProtection="1">
      <alignment horizontal="right" vertical="center" wrapText="1" readingOrder="1"/>
      <protection locked="0"/>
    </xf>
    <xf numFmtId="43" fontId="5" fillId="28" borderId="18" xfId="7" applyFont="1" applyFill="1" applyBorder="1" applyAlignment="1" applyProtection="1">
      <alignment horizontal="right" vertical="center" wrapText="1" readingOrder="1"/>
      <protection locked="0"/>
    </xf>
    <xf numFmtId="189" fontId="5" fillId="28" borderId="82" xfId="3" applyNumberFormat="1" applyFont="1" applyFill="1" applyBorder="1" applyAlignment="1" applyProtection="1">
      <alignment vertical="center" wrapText="1" readingOrder="1"/>
      <protection locked="0"/>
    </xf>
    <xf numFmtId="188" fontId="9" fillId="28" borderId="53" xfId="2" applyNumberFormat="1" applyFont="1" applyFill="1" applyBorder="1" applyAlignment="1" applyProtection="1">
      <alignment horizontal="right" vertical="center" wrapText="1" readingOrder="1"/>
      <protection locked="0"/>
    </xf>
    <xf numFmtId="194" fontId="84" fillId="28" borderId="6" xfId="2" applyNumberFormat="1" applyFont="1" applyFill="1" applyBorder="1" applyAlignment="1" applyProtection="1">
      <alignment horizontal="right" vertical="center" wrapText="1" readingOrder="1"/>
      <protection locked="0"/>
    </xf>
    <xf numFmtId="189" fontId="84" fillId="28" borderId="82" xfId="3" applyNumberFormat="1" applyFont="1" applyFill="1" applyBorder="1" applyAlignment="1" applyProtection="1">
      <alignment vertical="center" wrapText="1" readingOrder="1"/>
      <protection locked="0"/>
    </xf>
    <xf numFmtId="43" fontId="83" fillId="4" borderId="82" xfId="7" applyFont="1" applyFill="1" applyBorder="1" applyAlignment="1" applyProtection="1">
      <alignment vertical="center" wrapText="1" readingOrder="1"/>
      <protection locked="0"/>
    </xf>
    <xf numFmtId="190" fontId="83" fillId="0" borderId="6" xfId="1" applyNumberFormat="1" applyFont="1" applyBorder="1" applyAlignment="1" applyProtection="1">
      <alignment horizontal="center" vertical="center" wrapText="1" readingOrder="1"/>
      <protection locked="0"/>
    </xf>
    <xf numFmtId="188" fontId="9" fillId="28" borderId="52" xfId="2" applyNumberFormat="1" applyFont="1" applyFill="1" applyBorder="1" applyAlignment="1" applyProtection="1">
      <alignment horizontal="right" vertical="center" wrapText="1" readingOrder="1"/>
      <protection locked="0"/>
    </xf>
    <xf numFmtId="9" fontId="84" fillId="28" borderId="12" xfId="3" applyFont="1" applyFill="1" applyBorder="1" applyAlignment="1" applyProtection="1">
      <alignment horizontal="left" vertical="center" wrapText="1" readingOrder="1"/>
      <protection locked="0"/>
    </xf>
    <xf numFmtId="188" fontId="4" fillId="0" borderId="0" xfId="1" applyNumberFormat="1" applyFont="1" applyAlignment="1">
      <alignment vertical="center"/>
    </xf>
    <xf numFmtId="0" fontId="4" fillId="0" borderId="0" xfId="1" applyFont="1" applyAlignment="1">
      <alignment horizontal="center" vertical="center"/>
    </xf>
    <xf numFmtId="192" fontId="4" fillId="0" borderId="0" xfId="7" applyNumberFormat="1" applyFont="1" applyAlignment="1">
      <alignment vertical="center"/>
    </xf>
    <xf numFmtId="192" fontId="4" fillId="39" borderId="0" xfId="7" applyNumberFormat="1" applyFont="1" applyFill="1" applyAlignment="1">
      <alignment vertical="center"/>
    </xf>
    <xf numFmtId="188" fontId="5" fillId="28" borderId="17" xfId="2" applyNumberFormat="1" applyFont="1" applyFill="1" applyBorder="1" applyAlignment="1" applyProtection="1">
      <alignment horizontal="right" vertical="center" wrapText="1" readingOrder="1"/>
      <protection locked="0"/>
    </xf>
    <xf numFmtId="0" fontId="17" fillId="0" borderId="7" xfId="6" applyBorder="1" applyAlignment="1" applyProtection="1">
      <alignment horizontal="center" vertical="center" wrapText="1" readingOrder="1"/>
      <protection locked="0"/>
    </xf>
    <xf numFmtId="192" fontId="4" fillId="0" borderId="0" xfId="1" applyNumberFormat="1" applyFont="1" applyAlignment="1">
      <alignment vertical="center"/>
    </xf>
    <xf numFmtId="192" fontId="9" fillId="0" borderId="2" xfId="7" applyNumberFormat="1" applyFont="1" applyFill="1" applyBorder="1" applyAlignment="1" applyProtection="1">
      <alignment horizontal="center" vertical="center" wrapText="1"/>
      <protection locked="0"/>
    </xf>
    <xf numFmtId="43" fontId="5" fillId="0" borderId="71" xfId="7" applyFont="1" applyFill="1" applyBorder="1" applyAlignment="1" applyProtection="1">
      <alignment horizontal="right" vertical="center" wrapText="1" readingOrder="1"/>
      <protection locked="0"/>
    </xf>
    <xf numFmtId="43" fontId="5" fillId="0" borderId="18" xfId="7" applyFont="1" applyFill="1" applyBorder="1" applyAlignment="1" applyProtection="1">
      <alignment horizontal="right" vertical="center" wrapText="1" readingOrder="1"/>
      <protection locked="0"/>
    </xf>
    <xf numFmtId="189" fontId="5" fillId="0" borderId="82" xfId="3" applyNumberFormat="1" applyFont="1" applyFill="1" applyBorder="1" applyAlignment="1" applyProtection="1">
      <alignment vertical="center" wrapText="1" readingOrder="1"/>
      <protection locked="0"/>
    </xf>
    <xf numFmtId="189" fontId="84" fillId="0" borderId="82" xfId="3" applyNumberFormat="1" applyFont="1" applyFill="1" applyBorder="1" applyAlignment="1" applyProtection="1">
      <alignment vertical="center" wrapText="1" readingOrder="1"/>
      <protection locked="0"/>
    </xf>
    <xf numFmtId="191" fontId="84" fillId="0" borderId="78" xfId="1" applyNumberFormat="1" applyFont="1" applyBorder="1" applyAlignment="1" applyProtection="1">
      <alignment vertical="center" wrapText="1" readingOrder="1"/>
      <protection locked="0"/>
    </xf>
    <xf numFmtId="0" fontId="5" fillId="0" borderId="7" xfId="1" applyFont="1" applyBorder="1" applyAlignment="1" applyProtection="1">
      <alignment horizontal="center" vertical="center" wrapText="1" readingOrder="1"/>
      <protection locked="0"/>
    </xf>
    <xf numFmtId="0" fontId="5" fillId="0" borderId="68" xfId="1" applyFont="1" applyBorder="1" applyAlignment="1" applyProtection="1">
      <alignment horizontal="center" vertical="center" wrapText="1" readingOrder="1"/>
      <protection locked="0"/>
    </xf>
    <xf numFmtId="0" fontId="5" fillId="0" borderId="10" xfId="1" applyFont="1" applyBorder="1" applyAlignment="1" applyProtection="1">
      <alignment horizontal="center" vertical="center" wrapText="1" readingOrder="1"/>
      <protection locked="0"/>
    </xf>
    <xf numFmtId="0" fontId="80" fillId="38" borderId="0" xfId="1" applyFont="1" applyFill="1" applyAlignment="1">
      <alignment horizontal="center" vertical="center" wrapText="1"/>
    </xf>
    <xf numFmtId="0" fontId="78" fillId="0" borderId="37" xfId="1" applyFont="1" applyBorder="1" applyAlignment="1">
      <alignment horizontal="left" vertical="center"/>
    </xf>
    <xf numFmtId="0" fontId="5" fillId="7" borderId="2" xfId="1" applyFont="1" applyFill="1" applyBorder="1" applyAlignment="1" applyProtection="1">
      <alignment horizontal="left" vertical="center" wrapText="1" readingOrder="1"/>
      <protection locked="0"/>
    </xf>
    <xf numFmtId="0" fontId="5" fillId="7" borderId="3" xfId="1" applyFont="1" applyFill="1" applyBorder="1" applyAlignment="1" applyProtection="1">
      <alignment horizontal="left" vertical="center" wrapText="1" readingOrder="1"/>
      <protection locked="0"/>
    </xf>
    <xf numFmtId="0" fontId="11" fillId="0" borderId="0" xfId="1" applyFont="1" applyAlignment="1">
      <alignment horizontal="center" vertical="center"/>
    </xf>
    <xf numFmtId="0" fontId="5" fillId="4" borderId="2" xfId="1" applyFont="1" applyFill="1" applyBorder="1" applyAlignment="1" applyProtection="1">
      <alignment horizontal="left" vertical="center" wrapText="1" readingOrder="1"/>
      <protection locked="0"/>
    </xf>
    <xf numFmtId="0" fontId="5" fillId="4" borderId="3" xfId="1" applyFont="1" applyFill="1" applyBorder="1" applyAlignment="1" applyProtection="1">
      <alignment horizontal="left" vertical="center" wrapText="1" readingOrder="1"/>
      <protection locked="0"/>
    </xf>
    <xf numFmtId="0" fontId="78" fillId="0" borderId="66" xfId="1" applyFont="1" applyBorder="1" applyAlignment="1">
      <alignment horizontal="left" vertical="center"/>
    </xf>
    <xf numFmtId="0" fontId="80" fillId="0" borderId="0" xfId="1" applyFont="1" applyAlignment="1">
      <alignment horizontal="left" vertical="center" wrapText="1"/>
    </xf>
    <xf numFmtId="0" fontId="5" fillId="5" borderId="9" xfId="1" applyFont="1" applyFill="1" applyBorder="1" applyAlignment="1" applyProtection="1">
      <alignment horizontal="left" vertical="center" wrapText="1" readingOrder="1"/>
      <protection locked="0"/>
    </xf>
    <xf numFmtId="0" fontId="5" fillId="5" borderId="40" xfId="1" applyFont="1" applyFill="1" applyBorder="1" applyAlignment="1" applyProtection="1">
      <alignment horizontal="left" vertical="center" wrapText="1" readingOrder="1"/>
      <protection locked="0"/>
    </xf>
    <xf numFmtId="191" fontId="5" fillId="5" borderId="76" xfId="1" applyNumberFormat="1" applyFont="1" applyFill="1" applyBorder="1" applyAlignment="1" applyProtection="1">
      <alignment horizontal="left" vertical="center" wrapText="1" readingOrder="1"/>
      <protection locked="0"/>
    </xf>
    <xf numFmtId="191" fontId="5" fillId="5" borderId="77" xfId="1" applyNumberFormat="1" applyFont="1" applyFill="1" applyBorder="1" applyAlignment="1" applyProtection="1">
      <alignment horizontal="left" vertical="center" wrapText="1" readingOrder="1"/>
      <protection locked="0"/>
    </xf>
    <xf numFmtId="192" fontId="8" fillId="5" borderId="7" xfId="7" applyNumberFormat="1" applyFont="1" applyFill="1" applyBorder="1" applyAlignment="1" applyProtection="1">
      <alignment horizontal="center" vertical="center"/>
      <protection locked="0"/>
    </xf>
    <xf numFmtId="192" fontId="8" fillId="5" borderId="10" xfId="7" applyNumberFormat="1" applyFont="1" applyFill="1" applyBorder="1" applyAlignment="1" applyProtection="1">
      <alignment horizontal="center" vertical="center"/>
      <protection locked="0"/>
    </xf>
    <xf numFmtId="193" fontId="5" fillId="5" borderId="72" xfId="1" applyNumberFormat="1" applyFont="1" applyFill="1" applyBorder="1" applyAlignment="1" applyProtection="1">
      <alignment horizontal="right" vertical="center" wrapText="1" readingOrder="1"/>
      <protection locked="0"/>
    </xf>
    <xf numFmtId="193" fontId="5" fillId="5" borderId="73" xfId="1" applyNumberFormat="1" applyFont="1" applyFill="1" applyBorder="1" applyAlignment="1" applyProtection="1">
      <alignment horizontal="right" vertical="center" wrapText="1" readingOrder="1"/>
      <protection locked="0"/>
    </xf>
    <xf numFmtId="190" fontId="5" fillId="5" borderId="7" xfId="1" applyNumberFormat="1" applyFont="1" applyFill="1" applyBorder="1" applyAlignment="1" applyProtection="1">
      <alignment horizontal="center" vertical="center" wrapText="1" readingOrder="1"/>
      <protection locked="0"/>
    </xf>
    <xf numFmtId="190" fontId="5" fillId="5" borderId="10" xfId="1" applyNumberFormat="1" applyFont="1" applyFill="1" applyBorder="1" applyAlignment="1" applyProtection="1">
      <alignment horizontal="center" vertical="center" wrapText="1" readingOrder="1"/>
      <protection locked="0"/>
    </xf>
    <xf numFmtId="43" fontId="5" fillId="5" borderId="74" xfId="7" applyFont="1" applyFill="1" applyBorder="1" applyAlignment="1" applyProtection="1">
      <alignment horizontal="right" vertical="center" wrapText="1" readingOrder="1"/>
      <protection locked="0"/>
    </xf>
    <xf numFmtId="43" fontId="5" fillId="5" borderId="27" xfId="7" applyFont="1" applyFill="1" applyBorder="1" applyAlignment="1" applyProtection="1">
      <alignment horizontal="right" vertical="center" wrapText="1" readingOrder="1"/>
      <protection locked="0"/>
    </xf>
    <xf numFmtId="0" fontId="5" fillId="5" borderId="6" xfId="1" applyFont="1" applyFill="1" applyBorder="1" applyAlignment="1" applyProtection="1">
      <alignment horizontal="left" vertical="center" wrapText="1" readingOrder="1"/>
      <protection locked="0"/>
    </xf>
    <xf numFmtId="0" fontId="8" fillId="7" borderId="6" xfId="1" applyFont="1" applyFill="1" applyBorder="1" applyAlignment="1" applyProtection="1">
      <alignment horizontal="left" vertical="center" wrapText="1" readingOrder="1"/>
      <protection locked="0"/>
    </xf>
    <xf numFmtId="0" fontId="5" fillId="5" borderId="7" xfId="1" applyFont="1" applyFill="1" applyBorder="1" applyAlignment="1" applyProtection="1">
      <alignment horizontal="center" vertical="center" wrapText="1" readingOrder="1"/>
      <protection locked="0"/>
    </xf>
    <xf numFmtId="0" fontId="5" fillId="5" borderId="10" xfId="1" applyFont="1" applyFill="1" applyBorder="1" applyAlignment="1" applyProtection="1">
      <alignment horizontal="center" vertical="center" wrapText="1" readingOrder="1"/>
      <protection locked="0"/>
    </xf>
    <xf numFmtId="189" fontId="5" fillId="5" borderId="86" xfId="3" applyNumberFormat="1" applyFont="1" applyFill="1" applyBorder="1" applyAlignment="1" applyProtection="1">
      <alignment horizontal="right" vertical="center" wrapText="1" readingOrder="1"/>
      <protection locked="0"/>
    </xf>
    <xf numFmtId="189" fontId="5" fillId="5" borderId="87" xfId="3" applyNumberFormat="1" applyFont="1" applyFill="1" applyBorder="1" applyAlignment="1" applyProtection="1">
      <alignment horizontal="right" vertical="center" wrapText="1" readingOrder="1"/>
      <protection locked="0"/>
    </xf>
    <xf numFmtId="191" fontId="84" fillId="0" borderId="78" xfId="1" applyNumberFormat="1" applyFont="1" applyBorder="1" applyAlignment="1" applyProtection="1">
      <alignment horizontal="left" vertical="center" wrapText="1" readingOrder="1"/>
      <protection locked="0"/>
    </xf>
    <xf numFmtId="191" fontId="84" fillId="0" borderId="80" xfId="1" applyNumberFormat="1" applyFont="1" applyBorder="1" applyAlignment="1" applyProtection="1">
      <alignment horizontal="left" vertical="center" wrapText="1" readingOrder="1"/>
      <protection locked="0"/>
    </xf>
    <xf numFmtId="191" fontId="84" fillId="0" borderId="79" xfId="1" applyNumberFormat="1" applyFont="1" applyBorder="1" applyAlignment="1" applyProtection="1">
      <alignment horizontal="left" vertical="center" wrapText="1" readingOrder="1"/>
      <protection locked="0"/>
    </xf>
    <xf numFmtId="0" fontId="7" fillId="0" borderId="18" xfId="1" applyFont="1" applyBorder="1" applyAlignment="1" applyProtection="1">
      <alignment horizontal="left" vertical="center" wrapText="1" readingOrder="1"/>
      <protection locked="0"/>
    </xf>
    <xf numFmtId="0" fontId="7" fillId="0" borderId="22" xfId="1" applyFont="1" applyBorder="1" applyAlignment="1" applyProtection="1">
      <alignment horizontal="left" vertical="center" wrapText="1" readingOrder="1"/>
      <protection locked="0"/>
    </xf>
    <xf numFmtId="0" fontId="7" fillId="0" borderId="32" xfId="1" applyFont="1" applyBorder="1" applyAlignment="1" applyProtection="1">
      <alignment horizontal="left" vertical="center" wrapText="1" readingOrder="1"/>
      <protection locked="0"/>
    </xf>
    <xf numFmtId="0" fontId="7" fillId="0" borderId="38" xfId="1" applyFont="1" applyBorder="1" applyAlignment="1" applyProtection="1">
      <alignment horizontal="left" vertical="center" wrapText="1" readingOrder="1"/>
      <protection locked="0"/>
    </xf>
    <xf numFmtId="0" fontId="11" fillId="0" borderId="8" xfId="1" applyFont="1" applyBorder="1" applyAlignment="1" applyProtection="1">
      <alignment horizontal="left" vertical="center" wrapText="1" readingOrder="1"/>
      <protection locked="0"/>
    </xf>
    <xf numFmtId="0" fontId="11" fillId="0" borderId="5" xfId="1" applyFont="1" applyBorder="1" applyAlignment="1" applyProtection="1">
      <alignment horizontal="left" vertical="center" wrapText="1" readingOrder="1"/>
      <protection locked="0"/>
    </xf>
    <xf numFmtId="0" fontId="11" fillId="0" borderId="16" xfId="1" applyFont="1" applyBorder="1" applyAlignment="1" applyProtection="1">
      <alignment horizontal="left" vertical="center" wrapText="1" readingOrder="1"/>
      <protection locked="0"/>
    </xf>
    <xf numFmtId="0" fontId="11" fillId="0" borderId="0" xfId="1" applyFont="1" applyAlignment="1" applyProtection="1">
      <alignment horizontal="left" vertical="center" wrapText="1" readingOrder="1"/>
      <protection locked="0"/>
    </xf>
    <xf numFmtId="0" fontId="11" fillId="0" borderId="9" xfId="1" applyFont="1" applyBorder="1" applyAlignment="1" applyProtection="1">
      <alignment horizontal="left" vertical="center" wrapText="1" readingOrder="1"/>
      <protection locked="0"/>
    </xf>
    <xf numFmtId="0" fontId="11" fillId="0" borderId="1" xfId="1" applyFont="1" applyBorder="1" applyAlignment="1" applyProtection="1">
      <alignment horizontal="left" vertical="center" wrapText="1" readingOrder="1"/>
      <protection locked="0"/>
    </xf>
    <xf numFmtId="0" fontId="7" fillId="0" borderId="43" xfId="1" applyFont="1" applyBorder="1" applyAlignment="1" applyProtection="1">
      <alignment horizontal="left" vertical="center" wrapText="1" readingOrder="1"/>
      <protection locked="0"/>
    </xf>
    <xf numFmtId="0" fontId="7" fillId="0" borderId="37" xfId="1" applyFont="1" applyBorder="1" applyAlignment="1" applyProtection="1">
      <alignment horizontal="left" vertical="center" wrapText="1" readingOrder="1"/>
      <protection locked="0"/>
    </xf>
    <xf numFmtId="0" fontId="7" fillId="0" borderId="8" xfId="1" applyFont="1" applyBorder="1" applyAlignment="1" applyProtection="1">
      <alignment horizontal="left" vertical="center" wrapText="1" readingOrder="1"/>
      <protection locked="0"/>
    </xf>
    <xf numFmtId="0" fontId="7" fillId="0" borderId="36" xfId="1" applyFont="1" applyBorder="1" applyAlignment="1" applyProtection="1">
      <alignment horizontal="left" vertical="center" wrapText="1" readingOrder="1"/>
      <protection locked="0"/>
    </xf>
    <xf numFmtId="0" fontId="7" fillId="0" borderId="16" xfId="1" applyFont="1" applyBorder="1" applyAlignment="1" applyProtection="1">
      <alignment horizontal="left" vertical="center" wrapText="1" readingOrder="1"/>
      <protection locked="0"/>
    </xf>
    <xf numFmtId="0" fontId="7" fillId="0" borderId="9" xfId="1" applyFont="1" applyBorder="1" applyAlignment="1" applyProtection="1">
      <alignment horizontal="left" vertical="center" wrapText="1" readingOrder="1"/>
      <protection locked="0"/>
    </xf>
    <xf numFmtId="0" fontId="7" fillId="0" borderId="40" xfId="1" applyFont="1" applyBorder="1" applyAlignment="1" applyProtection="1">
      <alignment horizontal="left" vertical="center" wrapText="1" readingOrder="1"/>
      <protection locked="0"/>
    </xf>
    <xf numFmtId="0" fontId="8" fillId="0" borderId="2" xfId="1" applyFont="1" applyBorder="1" applyAlignment="1" applyProtection="1">
      <alignment horizontal="left" vertical="center" wrapText="1" readingOrder="1"/>
      <protection locked="0"/>
    </xf>
    <xf numFmtId="0" fontId="8" fillId="0" borderId="4" xfId="1" applyFont="1" applyBorder="1" applyAlignment="1" applyProtection="1">
      <alignment horizontal="left" vertical="center" wrapText="1" readingOrder="1"/>
      <protection locked="0"/>
    </xf>
    <xf numFmtId="0" fontId="8" fillId="0" borderId="8" xfId="1" applyFont="1" applyBorder="1" applyAlignment="1" applyProtection="1">
      <alignment horizontal="left" vertical="center" wrapText="1" readingOrder="1"/>
      <protection locked="0"/>
    </xf>
    <xf numFmtId="0" fontId="8" fillId="0" borderId="5" xfId="1" applyFont="1" applyBorder="1" applyAlignment="1" applyProtection="1">
      <alignment horizontal="left" vertical="center" wrapText="1" readingOrder="1"/>
      <protection locked="0"/>
    </xf>
    <xf numFmtId="0" fontId="8" fillId="5" borderId="3" xfId="1" applyFont="1" applyFill="1" applyBorder="1" applyAlignment="1" applyProtection="1">
      <alignment horizontal="left" vertical="center" wrapText="1" readingOrder="1"/>
      <protection locked="0"/>
    </xf>
    <xf numFmtId="0" fontId="8" fillId="5" borderId="4" xfId="1" applyFont="1" applyFill="1" applyBorder="1" applyAlignment="1" applyProtection="1">
      <alignment horizontal="left" vertical="center" wrapText="1" readingOrder="1"/>
      <protection locked="0"/>
    </xf>
    <xf numFmtId="0" fontId="8" fillId="5" borderId="2" xfId="1" applyFont="1" applyFill="1" applyBorder="1" applyAlignment="1" applyProtection="1">
      <alignment horizontal="left" vertical="center" wrapText="1" readingOrder="1"/>
      <protection locked="0"/>
    </xf>
    <xf numFmtId="0" fontId="8" fillId="4" borderId="9" xfId="1" applyFont="1" applyFill="1" applyBorder="1" applyAlignment="1" applyProtection="1">
      <alignment horizontal="left" vertical="center" wrapText="1" readingOrder="1"/>
      <protection locked="0"/>
    </xf>
    <xf numFmtId="0" fontId="8" fillId="4" borderId="1" xfId="1" applyFont="1" applyFill="1" applyBorder="1" applyAlignment="1" applyProtection="1">
      <alignment horizontal="left" vertical="center" wrapText="1" readingOrder="1"/>
      <protection locked="0"/>
    </xf>
    <xf numFmtId="190" fontId="83" fillId="5" borderId="76" xfId="1" applyNumberFormat="1" applyFont="1" applyFill="1" applyBorder="1" applyAlignment="1" applyProtection="1">
      <alignment horizontal="left" vertical="center" wrapText="1" readingOrder="1"/>
      <protection locked="0"/>
    </xf>
    <xf numFmtId="190" fontId="83" fillId="5" borderId="77" xfId="1" applyNumberFormat="1" applyFont="1" applyFill="1" applyBorder="1" applyAlignment="1" applyProtection="1">
      <alignment horizontal="left" vertical="center" wrapText="1" readingOrder="1"/>
      <protection locked="0"/>
    </xf>
    <xf numFmtId="0" fontId="8" fillId="0" borderId="6" xfId="1" applyFont="1" applyBorder="1" applyAlignment="1" applyProtection="1">
      <alignment horizontal="left" vertical="center" wrapText="1" readingOrder="1"/>
      <protection locked="0"/>
    </xf>
    <xf numFmtId="0" fontId="8" fillId="5" borderId="6" xfId="1" applyFont="1" applyFill="1" applyBorder="1" applyAlignment="1" applyProtection="1">
      <alignment horizontal="left" vertical="center" wrapText="1" readingOrder="1"/>
      <protection locked="0"/>
    </xf>
    <xf numFmtId="191" fontId="83" fillId="5" borderId="79" xfId="1" applyNumberFormat="1" applyFont="1" applyFill="1" applyBorder="1" applyAlignment="1" applyProtection="1">
      <alignment horizontal="left" vertical="top" wrapText="1" readingOrder="1"/>
      <protection locked="0"/>
    </xf>
    <xf numFmtId="191" fontId="83" fillId="5" borderId="77" xfId="1" applyNumberFormat="1" applyFont="1" applyFill="1" applyBorder="1" applyAlignment="1" applyProtection="1">
      <alignment horizontal="left" vertical="top" wrapText="1" readingOrder="1"/>
      <protection locked="0"/>
    </xf>
    <xf numFmtId="191" fontId="84" fillId="5" borderId="76" xfId="1" applyNumberFormat="1" applyFont="1" applyFill="1" applyBorder="1" applyAlignment="1" applyProtection="1">
      <alignment horizontal="left" vertical="center" wrapText="1" readingOrder="1"/>
      <protection locked="0"/>
    </xf>
    <xf numFmtId="191" fontId="84" fillId="5" borderId="79" xfId="1" applyNumberFormat="1" applyFont="1" applyFill="1" applyBorder="1" applyAlignment="1" applyProtection="1">
      <alignment horizontal="left" vertical="center" wrapText="1" readingOrder="1"/>
      <protection locked="0"/>
    </xf>
    <xf numFmtId="0" fontId="5" fillId="5" borderId="2" xfId="1" applyFont="1" applyFill="1" applyBorder="1" applyAlignment="1" applyProtection="1">
      <alignment horizontal="left" vertical="center" wrapText="1" readingOrder="1"/>
      <protection locked="0"/>
    </xf>
    <xf numFmtId="0" fontId="5" fillId="5" borderId="3" xfId="1" applyFont="1" applyFill="1" applyBorder="1" applyAlignment="1" applyProtection="1">
      <alignment horizontal="left" vertical="center" wrapText="1" readingOrder="1"/>
      <protection locked="0"/>
    </xf>
    <xf numFmtId="0" fontId="5" fillId="0" borderId="2" xfId="1" applyFont="1" applyBorder="1" applyAlignment="1" applyProtection="1">
      <alignment horizontal="left" vertical="center" wrapText="1" readingOrder="1"/>
      <protection locked="0"/>
    </xf>
    <xf numFmtId="0" fontId="5" fillId="0" borderId="3" xfId="1" applyFont="1" applyBorder="1" applyAlignment="1" applyProtection="1">
      <alignment horizontal="left" vertical="center" wrapText="1" readingOrder="1"/>
      <protection locked="0"/>
    </xf>
    <xf numFmtId="0" fontId="6" fillId="0" borderId="3" xfId="1" applyFont="1" applyBorder="1" applyAlignment="1" applyProtection="1">
      <alignment horizontal="left" vertical="center" wrapText="1" readingOrder="1"/>
      <protection locked="0"/>
    </xf>
    <xf numFmtId="0" fontId="8" fillId="11" borderId="2" xfId="1" applyFont="1" applyFill="1" applyBorder="1" applyAlignment="1" applyProtection="1">
      <alignment horizontal="left" vertical="center" wrapText="1" readingOrder="1"/>
      <protection locked="0"/>
    </xf>
    <xf numFmtId="0" fontId="8" fillId="11" borderId="3" xfId="1" applyFont="1" applyFill="1" applyBorder="1" applyAlignment="1" applyProtection="1">
      <alignment horizontal="left" vertical="center" wrapText="1" readingOrder="1"/>
      <protection locked="0"/>
    </xf>
    <xf numFmtId="0" fontId="5" fillId="0" borderId="6" xfId="1" applyFont="1" applyBorder="1" applyAlignment="1" applyProtection="1">
      <alignment horizontal="left" vertical="center" wrapText="1" readingOrder="1"/>
      <protection locked="0"/>
    </xf>
    <xf numFmtId="0" fontId="7" fillId="8" borderId="13" xfId="1" applyFont="1" applyFill="1" applyBorder="1" applyAlignment="1" applyProtection="1">
      <alignment horizontal="left" vertical="center" wrapText="1" readingOrder="1"/>
      <protection locked="0"/>
    </xf>
    <xf numFmtId="0" fontId="7" fillId="8" borderId="14" xfId="1" applyFont="1" applyFill="1" applyBorder="1" applyAlignment="1" applyProtection="1">
      <alignment horizontal="left" vertical="center" wrapText="1" readingOrder="1"/>
      <protection locked="0"/>
    </xf>
    <xf numFmtId="0" fontId="5" fillId="7" borderId="6" xfId="1" applyFont="1" applyFill="1" applyBorder="1" applyAlignment="1" applyProtection="1">
      <alignment horizontal="left" vertical="center" wrapText="1" readingOrder="1"/>
      <protection locked="0"/>
    </xf>
    <xf numFmtId="0" fontId="8" fillId="4" borderId="13" xfId="1" applyFont="1" applyFill="1" applyBorder="1" applyAlignment="1" applyProtection="1">
      <alignment horizontal="left" vertical="center" wrapText="1" readingOrder="1"/>
      <protection locked="0"/>
    </xf>
    <xf numFmtId="0" fontId="8" fillId="4" borderId="15" xfId="1" applyFont="1" applyFill="1" applyBorder="1" applyAlignment="1" applyProtection="1">
      <alignment horizontal="left" vertical="center" wrapText="1" readingOrder="1"/>
      <protection locked="0"/>
    </xf>
    <xf numFmtId="0" fontId="5" fillId="9" borderId="6" xfId="1" applyFont="1" applyFill="1" applyBorder="1" applyAlignment="1" applyProtection="1">
      <alignment horizontal="center" vertical="center" wrapText="1" readingOrder="1"/>
      <protection locked="0"/>
    </xf>
    <xf numFmtId="0" fontId="5" fillId="4" borderId="26" xfId="1" applyFont="1" applyFill="1" applyBorder="1" applyAlignment="1" applyProtection="1">
      <alignment horizontal="center" vertical="center" wrapText="1" readingOrder="1"/>
      <protection locked="0"/>
    </xf>
    <xf numFmtId="0" fontId="5" fillId="4" borderId="42" xfId="1" applyFont="1" applyFill="1" applyBorder="1" applyAlignment="1" applyProtection="1">
      <alignment horizontal="center" vertical="center" wrapText="1" readingOrder="1"/>
      <protection locked="0"/>
    </xf>
    <xf numFmtId="0" fontId="5" fillId="4" borderId="27" xfId="1" applyFont="1" applyFill="1" applyBorder="1" applyAlignment="1" applyProtection="1">
      <alignment horizontal="center" vertical="center" wrapText="1" readingOrder="1"/>
      <protection locked="0"/>
    </xf>
    <xf numFmtId="0" fontId="5" fillId="0" borderId="26" xfId="1" applyFont="1" applyBorder="1" applyAlignment="1" applyProtection="1">
      <alignment horizontal="center" vertical="center" wrapText="1" readingOrder="1"/>
      <protection locked="0"/>
    </xf>
    <xf numFmtId="0" fontId="5" fillId="0" borderId="42" xfId="1" applyFont="1" applyBorder="1" applyAlignment="1" applyProtection="1">
      <alignment horizontal="center" vertical="center" wrapText="1" readingOrder="1"/>
      <protection locked="0"/>
    </xf>
    <xf numFmtId="0" fontId="5" fillId="0" borderId="27" xfId="1" applyFont="1" applyBorder="1" applyAlignment="1" applyProtection="1">
      <alignment horizontal="center" vertical="center" wrapText="1" readingOrder="1"/>
      <protection locked="0"/>
    </xf>
    <xf numFmtId="0" fontId="89" fillId="4" borderId="32" xfId="6" applyFont="1" applyFill="1" applyBorder="1" applyAlignment="1" applyProtection="1">
      <alignment horizontal="center" vertical="center" wrapText="1" readingOrder="1"/>
      <protection locked="0"/>
    </xf>
    <xf numFmtId="0" fontId="89" fillId="4" borderId="43" xfId="6" applyFont="1" applyFill="1" applyBorder="1" applyAlignment="1" applyProtection="1">
      <alignment horizontal="center" vertical="center" wrapText="1" readingOrder="1"/>
      <protection locked="0"/>
    </xf>
    <xf numFmtId="0" fontId="89" fillId="4" borderId="13" xfId="6" applyFont="1" applyFill="1" applyBorder="1" applyAlignment="1" applyProtection="1">
      <alignment horizontal="center" vertical="center" wrapText="1" readingOrder="1"/>
      <protection locked="0"/>
    </xf>
    <xf numFmtId="0" fontId="89" fillId="0" borderId="39" xfId="6" applyFont="1" applyBorder="1" applyAlignment="1" applyProtection="1">
      <alignment horizontal="center" vertical="center" wrapText="1" readingOrder="1"/>
      <protection locked="0"/>
    </xf>
    <xf numFmtId="0" fontId="89" fillId="0" borderId="41" xfId="6" applyFont="1" applyBorder="1" applyAlignment="1" applyProtection="1">
      <alignment horizontal="center" vertical="center" wrapText="1" readingOrder="1"/>
      <protection locked="0"/>
    </xf>
    <xf numFmtId="0" fontId="7" fillId="8" borderId="28" xfId="1" applyFont="1" applyFill="1" applyBorder="1" applyAlignment="1" applyProtection="1">
      <alignment vertical="center" wrapText="1" readingOrder="1"/>
      <protection locked="0"/>
    </xf>
    <xf numFmtId="0" fontId="7" fillId="8" borderId="29" xfId="1" applyFont="1" applyFill="1" applyBorder="1" applyAlignment="1" applyProtection="1">
      <alignment vertical="center" wrapText="1" readingOrder="1"/>
      <protection locked="0"/>
    </xf>
    <xf numFmtId="0" fontId="7" fillId="8" borderId="1" xfId="1" applyFont="1" applyFill="1" applyBorder="1" applyAlignment="1" applyProtection="1">
      <alignment vertical="center" wrapText="1" readingOrder="1"/>
      <protection locked="0"/>
    </xf>
    <xf numFmtId="0" fontId="5" fillId="7" borderId="8" xfId="1" applyFont="1" applyFill="1" applyBorder="1" applyAlignment="1" applyProtection="1">
      <alignment horizontal="left" vertical="center" wrapText="1" readingOrder="1"/>
      <protection locked="0"/>
    </xf>
    <xf numFmtId="0" fontId="5" fillId="7" borderId="36" xfId="1" applyFont="1" applyFill="1" applyBorder="1" applyAlignment="1" applyProtection="1">
      <alignment horizontal="left" vertical="center" wrapText="1" readingOrder="1"/>
      <protection locked="0"/>
    </xf>
    <xf numFmtId="0" fontId="7" fillId="0" borderId="46" xfId="1" applyFont="1" applyBorder="1" applyAlignment="1" applyProtection="1">
      <alignment horizontal="left" vertical="center" wrapText="1" readingOrder="1"/>
      <protection locked="0"/>
    </xf>
    <xf numFmtId="0" fontId="7" fillId="0" borderId="47" xfId="1" applyFont="1" applyBorder="1" applyAlignment="1" applyProtection="1">
      <alignment horizontal="left" vertical="center" wrapText="1" readingOrder="1"/>
      <protection locked="0"/>
    </xf>
    <xf numFmtId="0" fontId="90" fillId="0" borderId="7" xfId="6" applyFont="1" applyBorder="1" applyAlignment="1" applyProtection="1">
      <alignment horizontal="center" vertical="center" wrapText="1" readingOrder="1"/>
      <protection locked="0"/>
    </xf>
    <xf numFmtId="0" fontId="90" fillId="0" borderId="68" xfId="6" applyFont="1" applyBorder="1" applyAlignment="1" applyProtection="1">
      <alignment horizontal="center" vertical="center" wrapText="1" readingOrder="1"/>
      <protection locked="0"/>
    </xf>
    <xf numFmtId="0" fontId="90" fillId="0" borderId="10" xfId="6" applyFont="1" applyBorder="1" applyAlignment="1" applyProtection="1">
      <alignment horizontal="center" vertical="center" wrapText="1" readingOrder="1"/>
      <protection locked="0"/>
    </xf>
    <xf numFmtId="0" fontId="8" fillId="5" borderId="8" xfId="1" applyFont="1" applyFill="1" applyBorder="1" applyAlignment="1">
      <alignment horizontal="left" vertical="center"/>
    </xf>
    <xf numFmtId="0" fontId="8" fillId="5" borderId="5" xfId="1" applyFont="1" applyFill="1" applyBorder="1" applyAlignment="1">
      <alignment horizontal="left" vertical="center"/>
    </xf>
    <xf numFmtId="0" fontId="5" fillId="11" borderId="2" xfId="1" applyFont="1" applyFill="1" applyBorder="1" applyAlignment="1" applyProtection="1">
      <alignment horizontal="left" vertical="center" wrapText="1" readingOrder="1"/>
      <protection locked="0"/>
    </xf>
    <xf numFmtId="0" fontId="5" fillId="11" borderId="3" xfId="1" applyFont="1" applyFill="1" applyBorder="1" applyAlignment="1" applyProtection="1">
      <alignment horizontal="left" vertical="center" wrapText="1" readingOrder="1"/>
      <protection locked="0"/>
    </xf>
    <xf numFmtId="0" fontId="2" fillId="0" borderId="0" xfId="1" applyFont="1" applyAlignment="1" applyProtection="1">
      <alignment horizontal="center" vertical="center" wrapText="1" readingOrder="1"/>
      <protection locked="0"/>
    </xf>
    <xf numFmtId="0" fontId="81" fillId="9" borderId="6" xfId="1" applyFont="1" applyFill="1" applyBorder="1" applyAlignment="1" applyProtection="1">
      <alignment horizontal="center" vertical="center" wrapText="1" readingOrder="1"/>
      <protection locked="0"/>
    </xf>
    <xf numFmtId="0" fontId="8" fillId="9" borderId="6" xfId="1" applyFont="1" applyFill="1" applyBorder="1" applyAlignment="1" applyProtection="1">
      <alignment horizontal="center" vertical="center" wrapText="1" readingOrder="1"/>
      <protection locked="0"/>
    </xf>
    <xf numFmtId="0" fontId="8" fillId="9" borderId="2" xfId="1" applyFont="1" applyFill="1" applyBorder="1" applyAlignment="1" applyProtection="1">
      <alignment horizontal="center" vertical="center" wrapText="1" readingOrder="1"/>
      <protection locked="0"/>
    </xf>
    <xf numFmtId="0" fontId="16" fillId="9" borderId="75" xfId="1" applyFont="1" applyFill="1" applyBorder="1" applyAlignment="1" applyProtection="1">
      <alignment horizontal="center" vertical="center" wrapText="1" readingOrder="1"/>
      <protection locked="0"/>
    </xf>
    <xf numFmtId="0" fontId="9" fillId="9" borderId="44" xfId="1" applyFont="1" applyFill="1" applyBorder="1" applyAlignment="1" applyProtection="1">
      <alignment horizontal="center" vertical="center" wrapText="1" readingOrder="1"/>
      <protection locked="0"/>
    </xf>
    <xf numFmtId="0" fontId="9" fillId="9" borderId="45" xfId="1" applyFont="1" applyFill="1" applyBorder="1" applyAlignment="1" applyProtection="1">
      <alignment horizontal="center" vertical="center" wrapText="1" readingOrder="1"/>
      <protection locked="0"/>
    </xf>
    <xf numFmtId="0" fontId="5" fillId="10" borderId="3" xfId="1" applyFont="1" applyFill="1" applyBorder="1" applyAlignment="1" applyProtection="1">
      <alignment horizontal="center" vertical="center" wrapText="1" readingOrder="1"/>
      <protection locked="0"/>
    </xf>
    <xf numFmtId="0" fontId="5" fillId="10" borderId="6" xfId="1" applyFont="1" applyFill="1" applyBorder="1" applyAlignment="1" applyProtection="1">
      <alignment horizontal="center" vertical="center" wrapText="1" readingOrder="1"/>
      <protection locked="0"/>
    </xf>
    <xf numFmtId="0" fontId="7" fillId="8" borderId="15" xfId="1" applyFont="1" applyFill="1" applyBorder="1" applyAlignment="1" applyProtection="1">
      <alignment horizontal="left" vertical="center" wrapText="1" readingOrder="1"/>
      <protection locked="0"/>
    </xf>
    <xf numFmtId="0" fontId="8" fillId="0" borderId="32" xfId="1" applyFont="1" applyBorder="1" applyAlignment="1" applyProtection="1">
      <alignment horizontal="left" vertical="center" wrapText="1" readingOrder="1"/>
      <protection locked="0"/>
    </xf>
    <xf numFmtId="0" fontId="8" fillId="0" borderId="38" xfId="1" applyFont="1" applyBorder="1" applyAlignment="1" applyProtection="1">
      <alignment horizontal="left" vertical="center" wrapText="1" readingOrder="1"/>
      <protection locked="0"/>
    </xf>
    <xf numFmtId="0" fontId="19" fillId="9" borderId="6" xfId="1" applyFont="1" applyFill="1" applyBorder="1" applyAlignment="1" applyProtection="1">
      <alignment horizontal="center" vertical="center" wrapText="1" readingOrder="1"/>
      <protection locked="0"/>
    </xf>
    <xf numFmtId="0" fontId="19" fillId="9" borderId="2" xfId="1" applyFont="1" applyFill="1" applyBorder="1" applyAlignment="1" applyProtection="1">
      <alignment horizontal="center" vertical="center" wrapText="1" readingOrder="1"/>
      <protection locked="0"/>
    </xf>
    <xf numFmtId="0" fontId="8" fillId="4" borderId="6" xfId="1" applyFont="1" applyFill="1" applyBorder="1" applyAlignment="1" applyProtection="1">
      <alignment horizontal="left" vertical="center" wrapText="1" readingOrder="1"/>
      <protection locked="0"/>
    </xf>
    <xf numFmtId="0" fontId="8" fillId="4" borderId="2" xfId="1" applyFont="1" applyFill="1" applyBorder="1" applyAlignment="1" applyProtection="1">
      <alignment horizontal="left" vertical="center" wrapText="1" readingOrder="1"/>
      <protection locked="0"/>
    </xf>
    <xf numFmtId="0" fontId="7" fillId="4" borderId="49" xfId="1" applyFont="1" applyFill="1" applyBorder="1" applyAlignment="1" applyProtection="1">
      <alignment horizontal="left" vertical="center" wrapText="1" readingOrder="1"/>
      <protection locked="0"/>
    </xf>
    <xf numFmtId="0" fontId="7" fillId="4" borderId="3" xfId="1" applyFont="1" applyFill="1" applyBorder="1" applyAlignment="1" applyProtection="1">
      <alignment horizontal="left" vertical="center" wrapText="1" readingOrder="1"/>
      <protection locked="0"/>
    </xf>
    <xf numFmtId="191" fontId="84" fillId="0" borderId="76" xfId="1" applyNumberFormat="1" applyFont="1" applyBorder="1" applyAlignment="1" applyProtection="1">
      <alignment horizontal="left" vertical="center" wrapText="1" readingOrder="1"/>
      <protection locked="0"/>
    </xf>
    <xf numFmtId="188" fontId="78" fillId="0" borderId="66" xfId="2" applyNumberFormat="1" applyFont="1" applyBorder="1" applyAlignment="1">
      <alignment horizontal="left" vertical="center"/>
    </xf>
    <xf numFmtId="0" fontId="89" fillId="0" borderId="26" xfId="6" applyFont="1" applyBorder="1" applyAlignment="1" applyProtection="1">
      <alignment horizontal="center" vertical="center" wrapText="1" readingOrder="1"/>
      <protection locked="0"/>
    </xf>
    <xf numFmtId="0" fontId="89" fillId="0" borderId="42" xfId="6" applyFont="1" applyBorder="1" applyAlignment="1" applyProtection="1">
      <alignment horizontal="center" vertical="center" wrapText="1" readingOrder="1"/>
      <protection locked="0"/>
    </xf>
    <xf numFmtId="0" fontId="89" fillId="0" borderId="27" xfId="6" applyFont="1" applyBorder="1" applyAlignment="1" applyProtection="1">
      <alignment horizontal="center" vertical="center" wrapText="1" readingOrder="1"/>
      <protection locked="0"/>
    </xf>
    <xf numFmtId="0" fontId="5" fillId="0" borderId="8" xfId="1" applyFont="1" applyBorder="1" applyAlignment="1" applyProtection="1">
      <alignment horizontal="left" vertical="center" wrapText="1" readingOrder="1"/>
      <protection locked="0"/>
    </xf>
    <xf numFmtId="0" fontId="5" fillId="0" borderId="36" xfId="1" applyFont="1" applyBorder="1" applyAlignment="1" applyProtection="1">
      <alignment horizontal="left" vertical="center" wrapText="1" readingOrder="1"/>
      <protection locked="0"/>
    </xf>
    <xf numFmtId="0" fontId="5" fillId="0" borderId="18" xfId="1" applyFont="1" applyBorder="1" applyAlignment="1" applyProtection="1">
      <alignment horizontal="left" vertical="center" wrapText="1" readingOrder="1"/>
      <protection locked="0"/>
    </xf>
    <xf numFmtId="0" fontId="5" fillId="0" borderId="22" xfId="1" applyFont="1" applyBorder="1" applyAlignment="1" applyProtection="1">
      <alignment horizontal="left" vertical="center" wrapText="1" readingOrder="1"/>
      <protection locked="0"/>
    </xf>
    <xf numFmtId="0" fontId="7" fillId="4" borderId="2" xfId="1" applyFont="1" applyFill="1" applyBorder="1" applyAlignment="1" applyProtection="1">
      <alignment horizontal="left" vertical="center" wrapText="1" readingOrder="1"/>
      <protection locked="0"/>
    </xf>
    <xf numFmtId="0" fontId="7" fillId="4" borderId="48" xfId="1" applyFont="1" applyFill="1" applyBorder="1" applyAlignment="1" applyProtection="1">
      <alignment horizontal="left" vertical="center" wrapText="1" readingOrder="1"/>
      <protection locked="0"/>
    </xf>
    <xf numFmtId="0" fontId="7" fillId="4" borderId="15" xfId="1" applyFont="1" applyFill="1" applyBorder="1" applyAlignment="1" applyProtection="1">
      <alignment horizontal="left" vertical="center" wrapText="1" readingOrder="1"/>
      <protection locked="0"/>
    </xf>
    <xf numFmtId="0" fontId="8" fillId="0" borderId="43" xfId="1" applyFont="1" applyBorder="1" applyAlignment="1" applyProtection="1">
      <alignment horizontal="left" vertical="center" wrapText="1" readingOrder="1"/>
      <protection locked="0"/>
    </xf>
    <xf numFmtId="0" fontId="8" fillId="0" borderId="37" xfId="1" applyFont="1" applyBorder="1" applyAlignment="1" applyProtection="1">
      <alignment horizontal="left" vertical="center" wrapText="1" readingOrder="1"/>
      <protection locked="0"/>
    </xf>
    <xf numFmtId="0" fontId="8" fillId="0" borderId="13" xfId="1" applyFont="1" applyBorder="1" applyAlignment="1" applyProtection="1">
      <alignment horizontal="left" vertical="center" wrapText="1" readingOrder="1"/>
      <protection locked="0"/>
    </xf>
    <xf numFmtId="0" fontId="8" fillId="0" borderId="15" xfId="1" applyFont="1" applyBorder="1" applyAlignment="1" applyProtection="1">
      <alignment horizontal="left" vertical="center" wrapText="1" readingOrder="1"/>
      <protection locked="0"/>
    </xf>
    <xf numFmtId="0" fontId="5" fillId="28" borderId="2" xfId="1" applyFont="1" applyFill="1" applyBorder="1" applyAlignment="1" applyProtection="1">
      <alignment horizontal="left" vertical="center" wrapText="1" readingOrder="1"/>
      <protection locked="0"/>
    </xf>
    <xf numFmtId="0" fontId="5" fillId="28" borderId="3" xfId="1" applyFont="1" applyFill="1" applyBorder="1" applyAlignment="1" applyProtection="1">
      <alignment horizontal="left" vertical="center" wrapText="1" readingOrder="1"/>
      <protection locked="0"/>
    </xf>
    <xf numFmtId="0" fontId="37" fillId="0" borderId="69" xfId="0" applyFont="1" applyBorder="1" applyAlignment="1" applyProtection="1">
      <alignment horizontal="center" vertical="top" wrapText="1" readingOrder="1"/>
      <protection locked="0"/>
    </xf>
    <xf numFmtId="0" fontId="37" fillId="0" borderId="36" xfId="0" applyFont="1" applyBorder="1" applyAlignment="1" applyProtection="1">
      <alignment horizontal="center" vertical="top" wrapText="1" readingOrder="1"/>
      <protection locked="0"/>
    </xf>
    <xf numFmtId="0" fontId="37" fillId="0" borderId="37" xfId="0" applyFont="1" applyBorder="1" applyAlignment="1" applyProtection="1">
      <alignment horizontal="center" vertical="top" wrapText="1" readingOrder="1"/>
      <protection locked="0"/>
    </xf>
    <xf numFmtId="0" fontId="37" fillId="0" borderId="40" xfId="0" applyFont="1" applyBorder="1" applyAlignment="1" applyProtection="1">
      <alignment horizontal="center" vertical="top" wrapText="1" readingOrder="1"/>
      <protection locked="0"/>
    </xf>
    <xf numFmtId="0" fontId="32" fillId="19" borderId="35" xfId="0" applyFont="1" applyFill="1" applyBorder="1" applyAlignment="1" applyProtection="1">
      <alignment vertical="top" wrapText="1" readingOrder="1"/>
      <protection locked="0"/>
    </xf>
    <xf numFmtId="0" fontId="28" fillId="20" borderId="70" xfId="0" applyFont="1" applyFill="1" applyBorder="1" applyAlignment="1" applyProtection="1">
      <alignment vertical="top" wrapText="1"/>
      <protection locked="0"/>
    </xf>
    <xf numFmtId="0" fontId="31" fillId="0" borderId="6" xfId="0" applyFont="1" applyBorder="1" applyAlignment="1" applyProtection="1">
      <alignment horizontal="left" vertical="top" wrapText="1" readingOrder="1"/>
      <protection locked="0"/>
    </xf>
    <xf numFmtId="190" fontId="55" fillId="0" borderId="6" xfId="0" applyNumberFormat="1" applyFont="1" applyBorder="1" applyAlignment="1" applyProtection="1">
      <alignment horizontal="left" vertical="top" wrapText="1" readingOrder="1"/>
      <protection locked="0"/>
    </xf>
    <xf numFmtId="0" fontId="37" fillId="19" borderId="69" xfId="0" applyFont="1" applyFill="1" applyBorder="1" applyAlignment="1" applyProtection="1">
      <alignment vertical="top" wrapText="1" readingOrder="1"/>
      <protection locked="0"/>
    </xf>
    <xf numFmtId="0" fontId="28" fillId="20" borderId="6" xfId="0" applyFont="1" applyFill="1" applyBorder="1" applyAlignment="1" applyProtection="1">
      <alignment vertical="top" wrapText="1"/>
      <protection locked="0"/>
    </xf>
    <xf numFmtId="0" fontId="37" fillId="0" borderId="67" xfId="0" applyFont="1" applyBorder="1" applyAlignment="1" applyProtection="1">
      <alignment horizontal="center" vertical="top" wrapText="1" readingOrder="1"/>
      <protection locked="0"/>
    </xf>
    <xf numFmtId="0" fontId="37" fillId="0" borderId="62" xfId="0" applyFont="1" applyBorder="1" applyAlignment="1" applyProtection="1">
      <alignment horizontal="center" vertical="top" wrapText="1" readingOrder="1"/>
      <protection locked="0"/>
    </xf>
    <xf numFmtId="0" fontId="31" fillId="0" borderId="8" xfId="0" applyFont="1" applyBorder="1" applyAlignment="1" applyProtection="1">
      <alignment horizontal="left" vertical="top" wrapText="1" readingOrder="1"/>
      <protection locked="0"/>
    </xf>
    <xf numFmtId="0" fontId="31" fillId="0" borderId="36" xfId="0" applyFont="1" applyBorder="1" applyAlignment="1" applyProtection="1">
      <alignment horizontal="left" vertical="top" wrapText="1" readingOrder="1"/>
      <protection locked="0"/>
    </xf>
    <xf numFmtId="0" fontId="31" fillId="0" borderId="9" xfId="0" applyFont="1" applyBorder="1" applyAlignment="1" applyProtection="1">
      <alignment horizontal="left" vertical="top" wrapText="1" readingOrder="1"/>
      <protection locked="0"/>
    </xf>
    <xf numFmtId="0" fontId="31" fillId="0" borderId="40" xfId="0" applyFont="1" applyBorder="1" applyAlignment="1" applyProtection="1">
      <alignment horizontal="left" vertical="top" wrapText="1" readingOrder="1"/>
      <protection locked="0"/>
    </xf>
    <xf numFmtId="0" fontId="41" fillId="0" borderId="7" xfId="0" applyFont="1" applyBorder="1" applyAlignment="1" applyProtection="1">
      <alignment horizontal="center" vertical="top" wrapText="1" readingOrder="1"/>
      <protection locked="0"/>
    </xf>
    <xf numFmtId="0" fontId="41" fillId="0" borderId="10" xfId="0" applyFont="1" applyBorder="1" applyAlignment="1" applyProtection="1">
      <alignment horizontal="center" vertical="top" wrapText="1" readingOrder="1"/>
      <protection locked="0"/>
    </xf>
    <xf numFmtId="0" fontId="37" fillId="0" borderId="7" xfId="0" applyFont="1" applyBorder="1" applyAlignment="1" applyProtection="1">
      <alignment horizontal="center" vertical="top" wrapText="1" readingOrder="1"/>
      <protection locked="0"/>
    </xf>
    <xf numFmtId="0" fontId="37" fillId="0" borderId="10" xfId="0" applyFont="1" applyBorder="1" applyAlignment="1" applyProtection="1">
      <alignment horizontal="center" vertical="top" wrapText="1" readingOrder="1"/>
      <protection locked="0"/>
    </xf>
    <xf numFmtId="0" fontId="37" fillId="0" borderId="7" xfId="0" applyFont="1" applyBorder="1" applyAlignment="1" applyProtection="1">
      <alignment horizontal="left" vertical="top" wrapText="1" readingOrder="1"/>
      <protection locked="0"/>
    </xf>
    <xf numFmtId="0" fontId="37" fillId="0" borderId="10" xfId="0" applyFont="1" applyBorder="1" applyAlignment="1" applyProtection="1">
      <alignment horizontal="left" vertical="top" wrapText="1" readingOrder="1"/>
      <protection locked="0"/>
    </xf>
    <xf numFmtId="0" fontId="31" fillId="0" borderId="3" xfId="0" applyFont="1" applyBorder="1" applyAlignment="1" applyProtection="1">
      <alignment horizontal="left" vertical="top" wrapText="1" readingOrder="1"/>
      <protection locked="0"/>
    </xf>
    <xf numFmtId="0" fontId="37" fillId="0" borderId="2" xfId="0" applyFont="1" applyBorder="1" applyAlignment="1" applyProtection="1">
      <alignment horizontal="center" vertical="top" wrapText="1" readingOrder="1"/>
      <protection locked="0"/>
    </xf>
    <xf numFmtId="0" fontId="37" fillId="0" borderId="68" xfId="0" applyFont="1" applyBorder="1" applyAlignment="1" applyProtection="1">
      <alignment horizontal="left" vertical="top" wrapText="1" readingOrder="1"/>
      <protection locked="0"/>
    </xf>
    <xf numFmtId="191" fontId="54" fillId="0" borderId="7" xfId="6" applyNumberFormat="1" applyFont="1" applyFill="1" applyBorder="1" applyAlignment="1" applyProtection="1">
      <alignment horizontal="center" vertical="center" wrapText="1" readingOrder="1"/>
      <protection locked="0"/>
    </xf>
    <xf numFmtId="191" fontId="54" fillId="0" borderId="68" xfId="6" applyNumberFormat="1" applyFont="1" applyFill="1" applyBorder="1" applyAlignment="1" applyProtection="1">
      <alignment horizontal="center" vertical="center" wrapText="1" readingOrder="1"/>
      <protection locked="0"/>
    </xf>
    <xf numFmtId="191" fontId="54" fillId="0" borderId="10" xfId="6" applyNumberFormat="1" applyFont="1" applyFill="1" applyBorder="1" applyAlignment="1" applyProtection="1">
      <alignment horizontal="center" vertical="center" wrapText="1" readingOrder="1"/>
      <protection locked="0"/>
    </xf>
    <xf numFmtId="0" fontId="36" fillId="0" borderId="7" xfId="0" applyFont="1" applyBorder="1" applyAlignment="1">
      <alignment horizontal="left" vertical="top" wrapText="1"/>
    </xf>
    <xf numFmtId="0" fontId="36" fillId="0" borderId="10" xfId="0" applyFont="1" applyBorder="1" applyAlignment="1">
      <alignment horizontal="left" vertical="top" wrapText="1"/>
    </xf>
    <xf numFmtId="0" fontId="37" fillId="30" borderId="6" xfId="0" applyFont="1" applyFill="1" applyBorder="1" applyAlignment="1" applyProtection="1">
      <alignment horizontal="center" vertical="center" wrapText="1" readingOrder="1"/>
      <protection locked="0"/>
    </xf>
    <xf numFmtId="0" fontId="52" fillId="30" borderId="3" xfId="0" applyFont="1" applyFill="1" applyBorder="1" applyAlignment="1" applyProtection="1">
      <alignment horizontal="center" vertical="center" wrapText="1" readingOrder="1"/>
      <protection locked="0"/>
    </xf>
    <xf numFmtId="0" fontId="37" fillId="30" borderId="7" xfId="0" applyFont="1" applyFill="1" applyBorder="1" applyAlignment="1" applyProtection="1">
      <alignment horizontal="center" vertical="center" wrapText="1" readingOrder="1"/>
      <protection locked="0"/>
    </xf>
    <xf numFmtId="0" fontId="37" fillId="30" borderId="68" xfId="0" applyFont="1" applyFill="1" applyBorder="1" applyAlignment="1" applyProtection="1">
      <alignment horizontal="center" vertical="center" wrapText="1" readingOrder="1"/>
      <protection locked="0"/>
    </xf>
    <xf numFmtId="0" fontId="37" fillId="30" borderId="10" xfId="0" applyFont="1" applyFill="1" applyBorder="1" applyAlignment="1" applyProtection="1">
      <alignment horizontal="center" vertical="center" wrapText="1" readingOrder="1"/>
      <protection locked="0"/>
    </xf>
    <xf numFmtId="0" fontId="29" fillId="19" borderId="10" xfId="0" applyFont="1" applyFill="1" applyBorder="1" applyAlignment="1" applyProtection="1">
      <alignment vertical="top" wrapText="1" readingOrder="1"/>
      <protection locked="0"/>
    </xf>
    <xf numFmtId="190" fontId="29" fillId="19" borderId="6" xfId="0" applyNumberFormat="1" applyFont="1" applyFill="1" applyBorder="1" applyAlignment="1" applyProtection="1">
      <alignment horizontal="center" vertical="top" wrapText="1" readingOrder="1"/>
      <protection locked="0"/>
    </xf>
    <xf numFmtId="0" fontId="37" fillId="16" borderId="6" xfId="0" applyFont="1" applyFill="1" applyBorder="1" applyAlignment="1" applyProtection="1">
      <alignment horizontal="center" vertical="center" wrapText="1" readingOrder="1"/>
      <protection locked="0"/>
    </xf>
    <xf numFmtId="0" fontId="37" fillId="30" borderId="2" xfId="0" applyFont="1" applyFill="1" applyBorder="1" applyAlignment="1" applyProtection="1">
      <alignment horizontal="center" vertical="center" wrapText="1" readingOrder="1"/>
      <protection locked="0"/>
    </xf>
    <xf numFmtId="0" fontId="37" fillId="30" borderId="4" xfId="0" applyFont="1" applyFill="1" applyBorder="1" applyAlignment="1" applyProtection="1">
      <alignment horizontal="center" vertical="center" wrapText="1" readingOrder="1"/>
      <protection locked="0"/>
    </xf>
    <xf numFmtId="0" fontId="37" fillId="30" borderId="3" xfId="0" applyFont="1" applyFill="1" applyBorder="1" applyAlignment="1" applyProtection="1">
      <alignment horizontal="center" vertical="center" wrapText="1" readingOrder="1"/>
      <protection locked="0"/>
    </xf>
    <xf numFmtId="0" fontId="36" fillId="16" borderId="16" xfId="0" applyFont="1" applyFill="1" applyBorder="1" applyAlignment="1" applyProtection="1">
      <alignment horizontal="center" vertical="top" wrapText="1" readingOrder="1"/>
      <protection locked="0"/>
    </xf>
    <xf numFmtId="0" fontId="36" fillId="16" borderId="9" xfId="0" applyFont="1" applyFill="1" applyBorder="1" applyAlignment="1" applyProtection="1">
      <alignment horizontal="center" vertical="top" wrapText="1" readingOrder="1"/>
      <protection locked="0"/>
    </xf>
    <xf numFmtId="0" fontId="37" fillId="30" borderId="36" xfId="0" applyFont="1" applyFill="1" applyBorder="1" applyAlignment="1" applyProtection="1">
      <alignment horizontal="center" vertical="center" wrapText="1" readingOrder="1"/>
      <protection locked="0"/>
    </xf>
    <xf numFmtId="0" fontId="37" fillId="30" borderId="37" xfId="0" applyFont="1" applyFill="1" applyBorder="1" applyAlignment="1" applyProtection="1">
      <alignment horizontal="center" vertical="center" wrapText="1" readingOrder="1"/>
      <protection locked="0"/>
    </xf>
    <xf numFmtId="0" fontId="37" fillId="30" borderId="40" xfId="0" applyFont="1" applyFill="1" applyBorder="1" applyAlignment="1" applyProtection="1">
      <alignment horizontal="center" vertical="center" wrapText="1" readingOrder="1"/>
      <protection locked="0"/>
    </xf>
    <xf numFmtId="0" fontId="36" fillId="31" borderId="7" xfId="0" applyFont="1" applyFill="1" applyBorder="1" applyAlignment="1" applyProtection="1">
      <alignment horizontal="center" vertical="center" wrapText="1" readingOrder="1"/>
      <protection locked="0"/>
    </xf>
    <xf numFmtId="0" fontId="36" fillId="31" borderId="10" xfId="0" applyFont="1" applyFill="1" applyBorder="1" applyAlignment="1" applyProtection="1">
      <alignment horizontal="center" vertical="center" wrapText="1" readingOrder="1"/>
      <protection locked="0"/>
    </xf>
    <xf numFmtId="0" fontId="36" fillId="16" borderId="6" xfId="0" applyFont="1" applyFill="1" applyBorder="1" applyAlignment="1" applyProtection="1">
      <alignment horizontal="center" vertical="center" wrapText="1" readingOrder="1"/>
      <protection locked="0"/>
    </xf>
    <xf numFmtId="0" fontId="46" fillId="0" borderId="0" xfId="0" applyFont="1" applyAlignment="1" applyProtection="1">
      <alignment horizontal="left" wrapText="1" readingOrder="1"/>
      <protection locked="0"/>
    </xf>
    <xf numFmtId="0" fontId="47" fillId="0" borderId="0" xfId="0" applyFont="1" applyAlignment="1" applyProtection="1">
      <alignment horizontal="left" vertical="center" wrapText="1" readingOrder="1"/>
      <protection locked="0"/>
    </xf>
    <xf numFmtId="0" fontId="48" fillId="28" borderId="0" xfId="0" applyFont="1" applyFill="1" applyAlignment="1" applyProtection="1">
      <alignment horizontal="center" vertical="center" wrapText="1" readingOrder="1"/>
      <protection locked="0"/>
    </xf>
    <xf numFmtId="0" fontId="29" fillId="0" borderId="0" xfId="0" applyFont="1" applyAlignment="1" applyProtection="1">
      <alignment horizontal="left" vertical="top" wrapText="1" readingOrder="1"/>
      <protection locked="0"/>
    </xf>
    <xf numFmtId="0" fontId="28" fillId="0" borderId="0" xfId="0" applyFont="1"/>
    <xf numFmtId="0" fontId="32" fillId="21" borderId="17" xfId="10" applyFont="1" applyFill="1" applyBorder="1" applyAlignment="1" applyProtection="1">
      <alignment vertical="top" wrapText="1" readingOrder="1"/>
      <protection locked="0"/>
    </xf>
    <xf numFmtId="0" fontId="28" fillId="29" borderId="21" xfId="10" applyFont="1" applyFill="1" applyBorder="1" applyAlignment="1" applyProtection="1">
      <alignment vertical="top" wrapText="1"/>
      <protection locked="0"/>
    </xf>
    <xf numFmtId="0" fontId="28" fillId="29" borderId="20" xfId="10" applyFont="1" applyFill="1" applyBorder="1" applyAlignment="1" applyProtection="1">
      <alignment vertical="top" wrapText="1"/>
      <protection locked="0"/>
    </xf>
    <xf numFmtId="0" fontId="37" fillId="23" borderId="17" xfId="10" applyFont="1" applyFill="1" applyBorder="1" applyAlignment="1" applyProtection="1">
      <alignment vertical="top" wrapText="1" readingOrder="1"/>
      <protection locked="0"/>
    </xf>
    <xf numFmtId="0" fontId="28" fillId="24" borderId="21" xfId="10" applyFont="1" applyFill="1" applyBorder="1" applyAlignment="1" applyProtection="1">
      <alignment vertical="top" wrapText="1"/>
      <protection locked="0"/>
    </xf>
    <xf numFmtId="0" fontId="28" fillId="24" borderId="20" xfId="10" applyFont="1" applyFill="1" applyBorder="1" applyAlignment="1" applyProtection="1">
      <alignment vertical="top" wrapText="1"/>
      <protection locked="0"/>
    </xf>
    <xf numFmtId="0" fontId="37" fillId="0" borderId="26" xfId="10" applyFont="1" applyBorder="1" applyAlignment="1" applyProtection="1">
      <alignment horizontal="center" vertical="top" wrapText="1" readingOrder="1"/>
      <protection locked="0"/>
    </xf>
    <xf numFmtId="0" fontId="37" fillId="0" borderId="27" xfId="10" applyFont="1" applyBorder="1" applyAlignment="1" applyProtection="1">
      <alignment horizontal="center" vertical="top" wrapText="1" readingOrder="1"/>
      <protection locked="0"/>
    </xf>
    <xf numFmtId="0" fontId="37" fillId="0" borderId="65" xfId="10" applyFont="1" applyBorder="1" applyAlignment="1" applyProtection="1">
      <alignment horizontal="center" vertical="top" wrapText="1" readingOrder="1"/>
      <protection locked="0"/>
    </xf>
    <xf numFmtId="0" fontId="37" fillId="0" borderId="66" xfId="10" applyFont="1" applyBorder="1" applyAlignment="1" applyProtection="1">
      <alignment horizontal="center" vertical="top" wrapText="1" readingOrder="1"/>
      <protection locked="0"/>
    </xf>
    <xf numFmtId="0" fontId="42" fillId="12" borderId="67" xfId="10" applyFont="1" applyFill="1" applyBorder="1" applyAlignment="1">
      <alignment horizontal="left" vertical="center" wrapText="1"/>
    </xf>
    <xf numFmtId="0" fontId="42" fillId="12" borderId="41" xfId="10" applyFont="1" applyFill="1" applyBorder="1" applyAlignment="1">
      <alignment horizontal="left" vertical="center" wrapText="1"/>
    </xf>
    <xf numFmtId="0" fontId="42" fillId="12" borderId="62" xfId="10" applyFont="1" applyFill="1" applyBorder="1" applyAlignment="1">
      <alignment horizontal="left" vertical="center" wrapText="1"/>
    </xf>
    <xf numFmtId="0" fontId="31" fillId="0" borderId="36" xfId="10" applyFont="1" applyBorder="1" applyAlignment="1" applyProtection="1">
      <alignment horizontal="center" vertical="center" wrapText="1" readingOrder="1"/>
      <protection locked="0"/>
    </xf>
    <xf numFmtId="0" fontId="31" fillId="0" borderId="40" xfId="10" applyFont="1" applyBorder="1" applyAlignment="1" applyProtection="1">
      <alignment horizontal="center" vertical="center" wrapText="1" readingOrder="1"/>
      <protection locked="0"/>
    </xf>
    <xf numFmtId="0" fontId="45" fillId="0" borderId="7" xfId="10" applyFont="1" applyBorder="1" applyAlignment="1" applyProtection="1">
      <alignment horizontal="center" vertical="center" wrapText="1" readingOrder="1"/>
      <protection locked="0"/>
    </xf>
    <xf numFmtId="0" fontId="45" fillId="0" borderId="10" xfId="10" applyFont="1" applyBorder="1" applyAlignment="1" applyProtection="1">
      <alignment horizontal="center" vertical="center" wrapText="1" readingOrder="1"/>
      <protection locked="0"/>
    </xf>
    <xf numFmtId="0" fontId="30" fillId="0" borderId="67" xfId="10" applyFont="1" applyBorder="1" applyAlignment="1">
      <alignment horizontal="left" vertical="center" wrapText="1"/>
    </xf>
    <xf numFmtId="0" fontId="30" fillId="0" borderId="62" xfId="10" applyFont="1" applyBorder="1" applyAlignment="1">
      <alignment horizontal="left" vertical="center" wrapText="1"/>
    </xf>
    <xf numFmtId="0" fontId="43" fillId="28" borderId="67" xfId="10" applyFont="1" applyFill="1" applyBorder="1" applyAlignment="1">
      <alignment horizontal="left" vertical="center" wrapText="1"/>
    </xf>
    <xf numFmtId="0" fontId="43" fillId="28" borderId="62" xfId="10" applyFont="1" applyFill="1" applyBorder="1" applyAlignment="1">
      <alignment horizontal="left" vertical="center" wrapText="1"/>
    </xf>
    <xf numFmtId="0" fontId="31" fillId="0" borderId="18" xfId="10" applyFont="1" applyBorder="1" applyAlignment="1" applyProtection="1">
      <alignment horizontal="left" vertical="top" wrapText="1" readingOrder="1"/>
      <protection locked="0"/>
    </xf>
    <xf numFmtId="0" fontId="31" fillId="0" borderId="20" xfId="10" applyFont="1" applyBorder="1" applyAlignment="1" applyProtection="1">
      <alignment horizontal="left" vertical="top" wrapText="1" readingOrder="1"/>
      <protection locked="0"/>
    </xf>
    <xf numFmtId="0" fontId="31" fillId="0" borderId="2" xfId="10" applyFont="1" applyBorder="1" applyAlignment="1" applyProtection="1">
      <alignment horizontal="left" vertical="top" wrapText="1" readingOrder="1"/>
      <protection locked="0"/>
    </xf>
    <xf numFmtId="0" fontId="31" fillId="0" borderId="3" xfId="10" applyFont="1" applyBorder="1" applyAlignment="1" applyProtection="1">
      <alignment horizontal="left" vertical="top" wrapText="1" readingOrder="1"/>
      <protection locked="0"/>
    </xf>
    <xf numFmtId="0" fontId="37" fillId="5" borderId="26" xfId="10" applyFont="1" applyFill="1" applyBorder="1" applyAlignment="1" applyProtection="1">
      <alignment horizontal="center" vertical="top" wrapText="1" readingOrder="1"/>
      <protection locked="0"/>
    </xf>
    <xf numFmtId="0" fontId="37" fillId="5" borderId="27" xfId="10" applyFont="1" applyFill="1" applyBorder="1" applyAlignment="1" applyProtection="1">
      <alignment horizontal="center" vertical="top" wrapText="1" readingOrder="1"/>
      <protection locked="0"/>
    </xf>
    <xf numFmtId="0" fontId="31" fillId="0" borderId="46" xfId="10" applyFont="1" applyBorder="1" applyAlignment="1" applyProtection="1">
      <alignment horizontal="left" vertical="top" wrapText="1" readingOrder="1"/>
      <protection locked="0"/>
    </xf>
    <xf numFmtId="0" fontId="31" fillId="0" borderId="64" xfId="10" applyFont="1" applyBorder="1" applyAlignment="1" applyProtection="1">
      <alignment horizontal="left" vertical="top" wrapText="1" readingOrder="1"/>
      <protection locked="0"/>
    </xf>
    <xf numFmtId="0" fontId="37" fillId="0" borderId="42" xfId="10" applyFont="1" applyBorder="1" applyAlignment="1" applyProtection="1">
      <alignment horizontal="center" vertical="top" wrapText="1" readingOrder="1"/>
      <protection locked="0"/>
    </xf>
    <xf numFmtId="0" fontId="37" fillId="0" borderId="26" xfId="10" applyFont="1" applyBorder="1" applyAlignment="1" applyProtection="1">
      <alignment horizontal="left" vertical="top" wrapText="1" readingOrder="1"/>
      <protection locked="0"/>
    </xf>
    <xf numFmtId="0" fontId="37" fillId="0" borderId="43" xfId="10" applyFont="1" applyBorder="1" applyAlignment="1" applyProtection="1">
      <alignment horizontal="left" vertical="top" wrapText="1" readingOrder="1"/>
      <protection locked="0"/>
    </xf>
    <xf numFmtId="0" fontId="37" fillId="0" borderId="13" xfId="10" applyFont="1" applyBorder="1" applyAlignment="1" applyProtection="1">
      <alignment horizontal="left" vertical="top" wrapText="1" readingOrder="1"/>
      <protection locked="0"/>
    </xf>
    <xf numFmtId="0" fontId="31" fillId="0" borderId="28" xfId="10" applyFont="1" applyBorder="1" applyAlignment="1" applyProtection="1">
      <alignment horizontal="left" vertical="top" wrapText="1" readingOrder="1"/>
      <protection locked="0"/>
    </xf>
    <xf numFmtId="0" fontId="31" fillId="0" borderId="63" xfId="10" applyFont="1" applyBorder="1" applyAlignment="1" applyProtection="1">
      <alignment horizontal="left" vertical="top" wrapText="1" readingOrder="1"/>
      <protection locked="0"/>
    </xf>
    <xf numFmtId="190" fontId="29" fillId="23" borderId="18" xfId="10" applyNumberFormat="1" applyFont="1" applyFill="1" applyBorder="1" applyAlignment="1" applyProtection="1">
      <alignment horizontal="center" vertical="top" wrapText="1" readingOrder="1"/>
      <protection locked="0"/>
    </xf>
    <xf numFmtId="190" fontId="29" fillId="23" borderId="20" xfId="10" applyNumberFormat="1" applyFont="1" applyFill="1" applyBorder="1" applyAlignment="1" applyProtection="1">
      <alignment horizontal="center" vertical="top" wrapText="1" readingOrder="1"/>
      <protection locked="0"/>
    </xf>
    <xf numFmtId="0" fontId="29" fillId="19" borderId="17" xfId="10" applyFont="1" applyFill="1" applyBorder="1" applyAlignment="1" applyProtection="1">
      <alignment vertical="top" wrapText="1" readingOrder="1"/>
      <protection locked="0"/>
    </xf>
    <xf numFmtId="0" fontId="28" fillId="20" borderId="14" xfId="10" applyFont="1" applyFill="1" applyBorder="1" applyAlignment="1" applyProtection="1">
      <alignment vertical="top" wrapText="1"/>
      <protection locked="0"/>
    </xf>
    <xf numFmtId="0" fontId="28" fillId="20" borderId="30" xfId="10" applyFont="1" applyFill="1" applyBorder="1" applyAlignment="1" applyProtection="1">
      <alignment vertical="top" wrapText="1"/>
      <protection locked="0"/>
    </xf>
    <xf numFmtId="190" fontId="29" fillId="19" borderId="13" xfId="10" applyNumberFormat="1" applyFont="1" applyFill="1" applyBorder="1" applyAlignment="1" applyProtection="1">
      <alignment horizontal="center" vertical="top" wrapText="1" readingOrder="1"/>
      <protection locked="0"/>
    </xf>
    <xf numFmtId="190" fontId="29" fillId="19" borderId="30" xfId="10" applyNumberFormat="1" applyFont="1" applyFill="1" applyBorder="1" applyAlignment="1" applyProtection="1">
      <alignment horizontal="center" vertical="top" wrapText="1" readingOrder="1"/>
      <protection locked="0"/>
    </xf>
    <xf numFmtId="0" fontId="29" fillId="23" borderId="17" xfId="10" applyFont="1" applyFill="1" applyBorder="1" applyAlignment="1" applyProtection="1">
      <alignment vertical="top" wrapText="1" readingOrder="1"/>
      <protection locked="0"/>
    </xf>
    <xf numFmtId="0" fontId="33" fillId="14" borderId="56" xfId="10" applyFont="1" applyFill="1" applyBorder="1" applyAlignment="1" applyProtection="1">
      <alignment horizontal="center" vertical="center" wrapText="1" readingOrder="1"/>
      <protection locked="0"/>
    </xf>
    <xf numFmtId="0" fontId="33" fillId="14" borderId="58" xfId="10" applyFont="1" applyFill="1" applyBorder="1" applyAlignment="1" applyProtection="1">
      <alignment horizontal="center" vertical="center" wrapText="1" readingOrder="1"/>
      <protection locked="0"/>
    </xf>
    <xf numFmtId="0" fontId="33" fillId="14" borderId="60" xfId="10" applyFont="1" applyFill="1" applyBorder="1" applyAlignment="1" applyProtection="1">
      <alignment horizontal="center" vertical="center" wrapText="1" readingOrder="1"/>
      <protection locked="0"/>
    </xf>
    <xf numFmtId="0" fontId="32" fillId="14" borderId="36" xfId="10" applyFont="1" applyFill="1" applyBorder="1" applyAlignment="1" applyProtection="1">
      <alignment horizontal="center" vertical="center" wrapText="1" readingOrder="1"/>
      <protection locked="0"/>
    </xf>
    <xf numFmtId="0" fontId="32" fillId="14" borderId="37" xfId="10" applyFont="1" applyFill="1" applyBorder="1" applyAlignment="1" applyProtection="1">
      <alignment horizontal="center" vertical="center" wrapText="1" readingOrder="1"/>
      <protection locked="0"/>
    </xf>
    <xf numFmtId="0" fontId="32" fillId="14" borderId="40" xfId="10" applyFont="1" applyFill="1" applyBorder="1" applyAlignment="1" applyProtection="1">
      <alignment horizontal="center" vertical="center" wrapText="1" readingOrder="1"/>
      <protection locked="0"/>
    </xf>
    <xf numFmtId="0" fontId="31" fillId="14" borderId="8" xfId="10" applyFont="1" applyFill="1" applyBorder="1" applyAlignment="1" applyProtection="1">
      <alignment horizontal="center" vertical="center" wrapText="1" readingOrder="1"/>
      <protection locked="0"/>
    </xf>
    <xf numFmtId="0" fontId="31" fillId="14" borderId="36" xfId="10" applyFont="1" applyFill="1" applyBorder="1" applyAlignment="1" applyProtection="1">
      <alignment horizontal="center" vertical="center" wrapText="1" readingOrder="1"/>
      <protection locked="0"/>
    </xf>
    <xf numFmtId="0" fontId="31" fillId="14" borderId="16" xfId="10" applyFont="1" applyFill="1" applyBorder="1" applyAlignment="1" applyProtection="1">
      <alignment horizontal="center" vertical="center" wrapText="1" readingOrder="1"/>
      <protection locked="0"/>
    </xf>
    <xf numFmtId="0" fontId="31" fillId="14" borderId="37" xfId="10" applyFont="1" applyFill="1" applyBorder="1" applyAlignment="1" applyProtection="1">
      <alignment horizontal="center" vertical="center" wrapText="1" readingOrder="1"/>
      <protection locked="0"/>
    </xf>
    <xf numFmtId="0" fontId="36" fillId="16" borderId="50" xfId="10" applyFont="1" applyFill="1" applyBorder="1" applyAlignment="1" applyProtection="1">
      <alignment horizontal="center" vertical="top" wrapText="1" readingOrder="1"/>
      <protection locked="0"/>
    </xf>
    <xf numFmtId="0" fontId="36" fillId="16" borderId="57" xfId="10" applyFont="1" applyFill="1" applyBorder="1" applyAlignment="1" applyProtection="1">
      <alignment horizontal="center" vertical="top" wrapText="1" readingOrder="1"/>
      <protection locked="0"/>
    </xf>
    <xf numFmtId="0" fontId="36" fillId="17" borderId="6" xfId="10" applyFont="1" applyFill="1" applyBorder="1" applyAlignment="1" applyProtection="1">
      <alignment horizontal="center" vertical="top" wrapText="1" readingOrder="1"/>
      <protection locked="0"/>
    </xf>
    <xf numFmtId="0" fontId="36" fillId="16" borderId="39" xfId="10" applyFont="1" applyFill="1" applyBorder="1" applyAlignment="1" applyProtection="1">
      <alignment horizontal="center" vertical="center" wrapText="1" readingOrder="1"/>
      <protection locked="0"/>
    </xf>
    <xf numFmtId="0" fontId="36" fillId="16" borderId="62" xfId="10" applyFont="1" applyFill="1" applyBorder="1" applyAlignment="1" applyProtection="1">
      <alignment horizontal="center" vertical="center" wrapText="1" readingOrder="1"/>
      <protection locked="0"/>
    </xf>
    <xf numFmtId="0" fontId="36" fillId="17" borderId="48" xfId="10" applyFont="1" applyFill="1" applyBorder="1" applyAlignment="1" applyProtection="1">
      <alignment horizontal="center" vertical="top" wrapText="1" readingOrder="1"/>
      <protection locked="0"/>
    </xf>
    <xf numFmtId="0" fontId="36" fillId="17" borderId="30" xfId="10" applyFont="1" applyFill="1" applyBorder="1" applyAlignment="1" applyProtection="1">
      <alignment horizontal="center" vertical="top" wrapText="1" readingOrder="1"/>
      <protection locked="0"/>
    </xf>
    <xf numFmtId="0" fontId="36" fillId="18" borderId="13" xfId="10" applyFont="1" applyFill="1" applyBorder="1" applyAlignment="1" applyProtection="1">
      <alignment horizontal="center" vertical="top" wrapText="1" readingOrder="1"/>
      <protection locked="0"/>
    </xf>
    <xf numFmtId="0" fontId="36" fillId="18" borderId="30" xfId="10" applyFont="1" applyFill="1" applyBorder="1" applyAlignment="1" applyProtection="1">
      <alignment horizontal="center" vertical="top" wrapText="1" readingOrder="1"/>
      <protection locked="0"/>
    </xf>
    <xf numFmtId="0" fontId="36" fillId="17" borderId="41" xfId="10" applyFont="1" applyFill="1" applyBorder="1" applyAlignment="1" applyProtection="1">
      <alignment horizontal="center" vertical="top" wrapText="1" readingOrder="1"/>
      <protection locked="0"/>
    </xf>
    <xf numFmtId="0" fontId="36" fillId="17" borderId="62" xfId="10" applyFont="1" applyFill="1" applyBorder="1" applyAlignment="1" applyProtection="1">
      <alignment horizontal="center" vertical="top" wrapText="1" readingOrder="1"/>
      <protection locked="0"/>
    </xf>
    <xf numFmtId="0" fontId="25" fillId="0" borderId="0" xfId="10" applyFont="1" applyAlignment="1" applyProtection="1">
      <alignment horizontal="left" vertical="center" wrapText="1" readingOrder="1"/>
      <protection locked="0"/>
    </xf>
    <xf numFmtId="0" fontId="29" fillId="13" borderId="0" xfId="10" applyFont="1" applyFill="1" applyAlignment="1" applyProtection="1">
      <alignment horizontal="left" vertical="top" wrapText="1" readingOrder="1"/>
      <protection locked="0"/>
    </xf>
    <xf numFmtId="0" fontId="29" fillId="11" borderId="0" xfId="10" applyFont="1" applyFill="1" applyAlignment="1" applyProtection="1">
      <alignment horizontal="left" vertical="top" wrapText="1" readingOrder="1"/>
      <protection locked="0"/>
    </xf>
    <xf numFmtId="0" fontId="29" fillId="0" borderId="0" xfId="10" applyFont="1" applyAlignment="1" applyProtection="1">
      <alignment horizontal="left" vertical="top" wrapText="1" readingOrder="1"/>
      <protection locked="0"/>
    </xf>
    <xf numFmtId="0" fontId="28" fillId="0" borderId="0" xfId="10" applyFont="1"/>
    <xf numFmtId="0" fontId="71" fillId="0" borderId="0" xfId="12" applyFont="1" applyAlignment="1" applyProtection="1">
      <alignment horizontal="center" vertical="top" wrapText="1" readingOrder="1"/>
      <protection locked="0"/>
    </xf>
    <xf numFmtId="0" fontId="73" fillId="0" borderId="0" xfId="12" applyFont="1"/>
    <xf numFmtId="0" fontId="71" fillId="0" borderId="0" xfId="12" applyFont="1" applyAlignment="1" applyProtection="1">
      <alignment horizontal="left" vertical="top" wrapText="1" readingOrder="1"/>
      <protection locked="0"/>
    </xf>
    <xf numFmtId="0" fontId="74" fillId="0" borderId="0" xfId="12" applyFont="1" applyAlignment="1" applyProtection="1">
      <alignment horizontal="center" vertical="top" wrapText="1" readingOrder="1"/>
      <protection locked="0"/>
    </xf>
    <xf numFmtId="0" fontId="71" fillId="35" borderId="26" xfId="12" applyFont="1" applyFill="1" applyBorder="1" applyAlignment="1" applyProtection="1">
      <alignment horizontal="center" vertical="center" wrapText="1" readingOrder="1"/>
      <protection locked="0"/>
    </xf>
    <xf numFmtId="0" fontId="73" fillId="35" borderId="42" xfId="12" applyFont="1" applyFill="1" applyBorder="1" applyAlignment="1" applyProtection="1">
      <alignment vertical="top" wrapText="1"/>
      <protection locked="0"/>
    </xf>
    <xf numFmtId="0" fontId="75" fillId="23" borderId="17" xfId="12" applyFont="1" applyFill="1" applyBorder="1" applyAlignment="1" applyProtection="1">
      <alignment vertical="top" wrapText="1" readingOrder="1"/>
      <protection locked="0"/>
    </xf>
    <xf numFmtId="0" fontId="1" fillId="24" borderId="21" xfId="12" applyFill="1" applyBorder="1" applyAlignment="1" applyProtection="1">
      <alignment vertical="top" wrapText="1"/>
      <protection locked="0"/>
    </xf>
    <xf numFmtId="0" fontId="1" fillId="24" borderId="20" xfId="12" applyFill="1" applyBorder="1" applyAlignment="1" applyProtection="1">
      <alignment vertical="top" wrapText="1"/>
      <protection locked="0"/>
    </xf>
    <xf numFmtId="0" fontId="71" fillId="35" borderId="17" xfId="12" applyFont="1" applyFill="1" applyBorder="1" applyAlignment="1" applyProtection="1">
      <alignment horizontal="center" vertical="top" wrapText="1" readingOrder="1"/>
      <protection locked="0"/>
    </xf>
    <xf numFmtId="0" fontId="73" fillId="32" borderId="21" xfId="12" applyFont="1" applyFill="1" applyBorder="1" applyAlignment="1" applyProtection="1">
      <alignment vertical="top" wrapText="1"/>
      <protection locked="0"/>
    </xf>
    <xf numFmtId="0" fontId="73" fillId="32" borderId="20" xfId="12" applyFont="1" applyFill="1" applyBorder="1" applyAlignment="1" applyProtection="1">
      <alignment vertical="top" wrapText="1"/>
      <protection locked="0"/>
    </xf>
    <xf numFmtId="0" fontId="71" fillId="35" borderId="17" xfId="12" applyFont="1" applyFill="1" applyBorder="1" applyAlignment="1" applyProtection="1">
      <alignment horizontal="center" vertical="center" wrapText="1" readingOrder="1"/>
      <protection locked="0"/>
    </xf>
    <xf numFmtId="0" fontId="75" fillId="21" borderId="17" xfId="12" applyFont="1" applyFill="1" applyBorder="1" applyAlignment="1" applyProtection="1">
      <alignment vertical="top" wrapText="1" readingOrder="1"/>
      <protection locked="0"/>
    </xf>
    <xf numFmtId="0" fontId="1" fillId="29" borderId="21" xfId="12" applyFill="1" applyBorder="1" applyAlignment="1" applyProtection="1">
      <alignment vertical="top" wrapText="1"/>
      <protection locked="0"/>
    </xf>
    <xf numFmtId="0" fontId="1" fillId="29" borderId="20" xfId="12" applyFill="1" applyBorder="1" applyAlignment="1" applyProtection="1">
      <alignment vertical="top" wrapText="1"/>
      <protection locked="0"/>
    </xf>
    <xf numFmtId="0" fontId="75" fillId="0" borderId="17" xfId="12" applyFont="1" applyBorder="1" applyAlignment="1" applyProtection="1">
      <alignment horizontal="left" vertical="top" wrapText="1" readingOrder="1"/>
      <protection locked="0"/>
    </xf>
    <xf numFmtId="0" fontId="1" fillId="0" borderId="20" xfId="12" applyBorder="1" applyAlignment="1" applyProtection="1">
      <alignment vertical="top" wrapText="1"/>
      <protection locked="0"/>
    </xf>
    <xf numFmtId="0" fontId="71" fillId="21" borderId="17" xfId="12" applyFont="1" applyFill="1" applyBorder="1" applyAlignment="1" applyProtection="1">
      <alignment vertical="top" wrapText="1" readingOrder="1"/>
      <protection locked="0"/>
    </xf>
    <xf numFmtId="0" fontId="73" fillId="29" borderId="21" xfId="12" applyFont="1" applyFill="1" applyBorder="1" applyAlignment="1" applyProtection="1">
      <alignment vertical="top" wrapText="1"/>
      <protection locked="0"/>
    </xf>
    <xf numFmtId="0" fontId="73" fillId="29" borderId="20" xfId="12" applyFont="1" applyFill="1" applyBorder="1" applyAlignment="1" applyProtection="1">
      <alignment vertical="top" wrapText="1"/>
      <protection locked="0"/>
    </xf>
    <xf numFmtId="190" fontId="83" fillId="5" borderId="76" xfId="1" applyNumberFormat="1" applyFont="1" applyFill="1" applyBorder="1" applyAlignment="1" applyProtection="1">
      <alignment vertical="center" wrapText="1" readingOrder="1"/>
      <protection locked="0"/>
    </xf>
    <xf numFmtId="190" fontId="84" fillId="5" borderId="76" xfId="1" applyNumberFormat="1" applyFont="1" applyFill="1" applyBorder="1" applyAlignment="1" applyProtection="1">
      <alignment vertical="center" wrapText="1" readingOrder="1"/>
      <protection locked="0"/>
    </xf>
    <xf numFmtId="189" fontId="93" fillId="4" borderId="82" xfId="3" applyNumberFormat="1" applyFont="1" applyFill="1" applyBorder="1" applyAlignment="1" applyProtection="1">
      <alignment vertical="center" wrapText="1" readingOrder="1"/>
      <protection locked="0"/>
    </xf>
    <xf numFmtId="194" fontId="84" fillId="7" borderId="6" xfId="2" applyNumberFormat="1" applyFont="1" applyFill="1" applyBorder="1" applyAlignment="1" applyProtection="1">
      <alignment horizontal="right" vertical="center" wrapText="1" readingOrder="1"/>
      <protection locked="0"/>
    </xf>
    <xf numFmtId="191" fontId="84" fillId="7" borderId="24" xfId="1" applyNumberFormat="1" applyFont="1" applyFill="1" applyBorder="1" applyAlignment="1" applyProtection="1">
      <alignment horizontal="left" vertical="center" wrapText="1" readingOrder="1"/>
      <protection locked="0"/>
    </xf>
    <xf numFmtId="191" fontId="83" fillId="7" borderId="19" xfId="1" applyNumberFormat="1" applyFont="1" applyFill="1" applyBorder="1" applyAlignment="1" applyProtection="1">
      <alignment horizontal="left" vertical="center" wrapText="1" readingOrder="1"/>
      <protection locked="0"/>
    </xf>
  </cellXfs>
  <cellStyles count="13">
    <cellStyle name="Comma" xfId="7" builtinId="3"/>
    <cellStyle name="Comma 2" xfId="2" xr:uid="{637BEF7D-0CE2-4257-8681-F7708057E405}"/>
    <cellStyle name="Comma 2 2" xfId="11" xr:uid="{9CB88A0F-3898-4ABB-B33C-5766AAC13C99}"/>
    <cellStyle name="Hyperlink" xfId="6" builtinId="8"/>
    <cellStyle name="Hyperlink 2" xfId="4" xr:uid="{DBDD9A34-3EFC-439F-A666-24C01EB34F15}"/>
    <cellStyle name="Normal" xfId="0" builtinId="0"/>
    <cellStyle name="Normal 2" xfId="1" xr:uid="{DA9FA522-222D-4EEE-AC13-1630B2EE0BEE}"/>
    <cellStyle name="Normal 2 2" xfId="9" xr:uid="{7288F67B-7F87-4393-B233-185671C68D5C}"/>
    <cellStyle name="Normal 2 2 2" xfId="12" xr:uid="{8C3B8F74-730A-4489-A1F9-C865742B8491}"/>
    <cellStyle name="Normal 2 3" xfId="10" xr:uid="{4A77C407-272D-4027-A43A-CE4BFDCA2AEF}"/>
    <cellStyle name="Normal 7" xfId="5" xr:uid="{09509839-4243-4EAE-993E-0BE976BA4148}"/>
    <cellStyle name="Percent" xfId="8" builtinId="5"/>
    <cellStyle name="Percent 2" xfId="3" xr:uid="{92BB3CD9-D197-4F09-ACEA-E805F1424993}"/>
  </cellStyles>
  <dxfs count="228">
    <dxf>
      <font>
        <color rgb="FFC00000"/>
      </font>
    </dxf>
    <dxf>
      <font>
        <color rgb="FFC00000"/>
      </font>
    </dxf>
    <dxf>
      <font>
        <color rgb="FF00B050"/>
      </font>
    </dxf>
    <dxf>
      <font>
        <color theme="7" tint="-0.24994659260841701"/>
      </font>
    </dxf>
    <dxf>
      <font>
        <color theme="1" tint="0.499984740745262"/>
      </font>
    </dxf>
    <dxf>
      <font>
        <color theme="7" tint="-0.24994659260841701"/>
      </font>
    </dxf>
    <dxf>
      <font>
        <color theme="9" tint="-0.24994659260841701"/>
      </font>
    </dxf>
    <dxf>
      <font>
        <color rgb="FFC00000"/>
      </font>
    </dxf>
    <dxf>
      <font>
        <color rgb="FF9C0006"/>
      </font>
      <fill>
        <patternFill>
          <bgColor rgb="FFFFC7CE"/>
        </patternFill>
      </fill>
    </dxf>
    <dxf>
      <font>
        <color rgb="FF006100"/>
      </font>
      <fill>
        <patternFill>
          <bgColor rgb="FFC6EFCE"/>
        </patternFill>
      </fill>
    </dxf>
    <dxf>
      <font>
        <color rgb="FFFF0000"/>
      </font>
    </dxf>
    <dxf>
      <font>
        <color rgb="FF00B050"/>
      </font>
    </dxf>
    <dxf>
      <fill>
        <patternFill>
          <bgColor theme="5" tint="0.79998168889431442"/>
        </patternFill>
      </fill>
    </dxf>
    <dxf>
      <fill>
        <patternFill>
          <bgColor theme="9" tint="0.59996337778862885"/>
        </patternFill>
      </fill>
    </dxf>
    <dxf>
      <font>
        <color theme="7" tint="-0.24994659260841701"/>
      </font>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ont>
        <color theme="7" tint="-0.24994659260841701"/>
      </font>
    </dxf>
    <dxf>
      <font>
        <color rgb="FFC00000"/>
      </font>
    </dxf>
    <dxf>
      <font>
        <color rgb="FFC00000"/>
      </font>
    </dxf>
    <dxf>
      <font>
        <color theme="7" tint="-0.24994659260841701"/>
      </font>
    </dxf>
    <dxf>
      <font>
        <color rgb="FF00B050"/>
      </font>
    </dxf>
    <dxf>
      <font>
        <color rgb="FF9C0006"/>
      </font>
      <fill>
        <patternFill>
          <bgColor rgb="FFFFC7CE"/>
        </patternFill>
      </fill>
    </dxf>
    <dxf>
      <font>
        <color rgb="FF006100"/>
      </font>
      <fill>
        <patternFill>
          <bgColor rgb="FFC6EFCE"/>
        </patternFill>
      </fill>
    </dxf>
    <dxf>
      <font>
        <color rgb="FFFF0000"/>
      </font>
    </dxf>
    <dxf>
      <font>
        <color rgb="FF00B050"/>
      </font>
    </dxf>
    <dxf>
      <font>
        <color theme="1" tint="0.499984740745262"/>
      </font>
    </dxf>
    <dxf>
      <fill>
        <patternFill>
          <bgColor theme="2"/>
        </patternFill>
      </fill>
    </dxf>
    <dxf>
      <font>
        <color theme="7" tint="-0.24994659260841701"/>
      </font>
    </dxf>
    <dxf>
      <font>
        <color theme="1" tint="0.499984740745262"/>
      </font>
    </dxf>
    <dxf>
      <font>
        <color rgb="FF9C0006"/>
      </font>
      <fill>
        <patternFill>
          <bgColor rgb="FFFFC7CE"/>
        </patternFill>
      </fill>
    </dxf>
    <dxf>
      <font>
        <color rgb="FF006100"/>
      </font>
      <fill>
        <patternFill>
          <bgColor rgb="FFC6EFCE"/>
        </patternFill>
      </fill>
    </dxf>
    <dxf>
      <font>
        <color rgb="FFFF0000"/>
      </font>
    </dxf>
    <dxf>
      <font>
        <color rgb="FF00B050"/>
      </font>
    </dxf>
    <dxf>
      <font>
        <color theme="7" tint="-0.24994659260841701"/>
      </font>
    </dxf>
    <dxf>
      <font>
        <color theme="9" tint="-0.24994659260841701"/>
      </font>
    </dxf>
    <dxf>
      <font>
        <color rgb="FFC00000"/>
      </font>
    </dxf>
    <dxf>
      <font>
        <color rgb="FFC00000"/>
      </font>
    </dxf>
    <dxf>
      <font>
        <color rgb="FFC00000"/>
      </font>
    </dxf>
    <dxf>
      <font>
        <color rgb="FF00B050"/>
      </font>
    </dxf>
    <dxf>
      <font>
        <color theme="9" tint="-0.24994659260841701"/>
      </font>
    </dxf>
    <dxf>
      <font>
        <color rgb="FF9C0006"/>
      </font>
      <fill>
        <patternFill>
          <bgColor rgb="FFFFC7CE"/>
        </patternFill>
      </fill>
    </dxf>
    <dxf>
      <font>
        <color rgb="FFC00000"/>
      </font>
    </dxf>
    <dxf>
      <font>
        <color rgb="FF00B050"/>
      </font>
    </dxf>
    <dxf>
      <font>
        <color rgb="FF006100"/>
      </font>
      <fill>
        <patternFill>
          <bgColor rgb="FFC6EFCE"/>
        </patternFill>
      </fill>
    </dxf>
    <dxf>
      <font>
        <color theme="9" tint="-0.24994659260841701"/>
      </font>
    </dxf>
    <dxf>
      <font>
        <color rgb="FFFF0000"/>
      </font>
    </dxf>
    <dxf>
      <font>
        <color rgb="FFC00000"/>
      </font>
    </dxf>
    <dxf>
      <font>
        <color rgb="FFFF0000"/>
      </font>
    </dxf>
    <dxf>
      <font>
        <color rgb="FF00B050"/>
      </font>
    </dxf>
    <dxf>
      <font>
        <color theme="7" tint="-0.24994659260841701"/>
      </font>
    </dxf>
    <dxf>
      <font>
        <color theme="9" tint="-0.24994659260841701"/>
      </font>
    </dxf>
    <dxf>
      <font>
        <color rgb="FFC00000"/>
      </font>
    </dxf>
    <dxf>
      <font>
        <color rgb="FF9C0006"/>
      </font>
      <fill>
        <patternFill>
          <bgColor rgb="FFFFC7CE"/>
        </patternFill>
      </fill>
    </dxf>
    <dxf>
      <font>
        <color rgb="FF006100"/>
      </font>
      <fill>
        <patternFill>
          <bgColor rgb="FFC6EFCE"/>
        </patternFill>
      </fill>
    </dxf>
    <dxf>
      <font>
        <color rgb="FFC00000"/>
      </font>
    </dxf>
    <dxf>
      <font>
        <color rgb="FFC00000"/>
      </font>
    </dxf>
    <dxf>
      <font>
        <color rgb="FF00B050"/>
      </font>
    </dxf>
    <dxf>
      <font>
        <color theme="7" tint="-0.24994659260841701"/>
      </font>
    </dxf>
    <dxf>
      <font>
        <color theme="1" tint="0.499984740745262"/>
      </font>
    </dxf>
    <dxf>
      <font>
        <color theme="7" tint="-0.24994659260841701"/>
      </font>
    </dxf>
    <dxf>
      <font>
        <color theme="9" tint="-0.24994659260841701"/>
      </font>
    </dxf>
    <dxf>
      <font>
        <color rgb="FFC00000"/>
      </font>
    </dxf>
    <dxf>
      <font>
        <color rgb="FF9C0006"/>
      </font>
      <fill>
        <patternFill>
          <bgColor rgb="FFFFC7CE"/>
        </patternFill>
      </fill>
    </dxf>
    <dxf>
      <font>
        <color rgb="FF006100"/>
      </font>
      <fill>
        <patternFill>
          <bgColor rgb="FFC6EFCE"/>
        </patternFill>
      </fill>
    </dxf>
    <dxf>
      <font>
        <color rgb="FFFF0000"/>
      </font>
    </dxf>
    <dxf>
      <font>
        <color rgb="FF00B050"/>
      </font>
    </dxf>
    <dxf>
      <fill>
        <patternFill>
          <bgColor theme="5" tint="0.79998168889431442"/>
        </patternFill>
      </fill>
    </dxf>
    <dxf>
      <fill>
        <patternFill>
          <bgColor theme="9" tint="0.59996337778862885"/>
        </patternFill>
      </fill>
    </dxf>
    <dxf>
      <font>
        <color theme="7" tint="-0.24994659260841701"/>
      </font>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ont>
        <color theme="7" tint="-0.24994659260841701"/>
      </font>
    </dxf>
    <dxf>
      <font>
        <color rgb="FFC00000"/>
      </font>
    </dxf>
    <dxf>
      <font>
        <color rgb="FFC00000"/>
      </font>
    </dxf>
    <dxf>
      <font>
        <color theme="7" tint="-0.24994659260841701"/>
      </font>
    </dxf>
    <dxf>
      <font>
        <color rgb="FF00B050"/>
      </font>
    </dxf>
    <dxf>
      <font>
        <color rgb="FF9C0006"/>
      </font>
      <fill>
        <patternFill>
          <bgColor rgb="FFFFC7CE"/>
        </patternFill>
      </fill>
    </dxf>
    <dxf>
      <font>
        <color rgb="FF006100"/>
      </font>
      <fill>
        <patternFill>
          <bgColor rgb="FFC6EFCE"/>
        </patternFill>
      </fill>
    </dxf>
    <dxf>
      <font>
        <color rgb="FFFF0000"/>
      </font>
    </dxf>
    <dxf>
      <font>
        <color rgb="FF00B050"/>
      </font>
    </dxf>
    <dxf>
      <font>
        <color theme="1" tint="0.499984740745262"/>
      </font>
    </dxf>
    <dxf>
      <fill>
        <patternFill>
          <bgColor theme="2"/>
        </patternFill>
      </fill>
    </dxf>
    <dxf>
      <font>
        <color theme="7" tint="-0.24994659260841701"/>
      </font>
    </dxf>
    <dxf>
      <font>
        <color theme="1" tint="0.499984740745262"/>
      </font>
    </dxf>
    <dxf>
      <font>
        <color rgb="FF9C0006"/>
      </font>
      <fill>
        <patternFill>
          <bgColor rgb="FFFFC7CE"/>
        </patternFill>
      </fill>
    </dxf>
    <dxf>
      <font>
        <color rgb="FF006100"/>
      </font>
      <fill>
        <patternFill>
          <bgColor rgb="FFC6EFCE"/>
        </patternFill>
      </fill>
    </dxf>
    <dxf>
      <font>
        <color rgb="FFFF0000"/>
      </font>
    </dxf>
    <dxf>
      <font>
        <color rgb="FF00B050"/>
      </font>
    </dxf>
    <dxf>
      <font>
        <color theme="7" tint="-0.24994659260841701"/>
      </font>
    </dxf>
    <dxf>
      <font>
        <color theme="9" tint="-0.24994659260841701"/>
      </font>
    </dxf>
    <dxf>
      <font>
        <color rgb="FFC00000"/>
      </font>
    </dxf>
    <dxf>
      <font>
        <color rgb="FFC00000"/>
      </font>
    </dxf>
    <dxf>
      <font>
        <color rgb="FFC00000"/>
      </font>
    </dxf>
    <dxf>
      <font>
        <color rgb="FF00B050"/>
      </font>
    </dxf>
    <dxf>
      <font>
        <color theme="9" tint="-0.24994659260841701"/>
      </font>
    </dxf>
    <dxf>
      <font>
        <color rgb="FF9C0006"/>
      </font>
      <fill>
        <patternFill>
          <bgColor rgb="FFFFC7CE"/>
        </patternFill>
      </fill>
    </dxf>
    <dxf>
      <font>
        <color rgb="FFC00000"/>
      </font>
    </dxf>
    <dxf>
      <font>
        <color rgb="FF00B050"/>
      </font>
    </dxf>
    <dxf>
      <font>
        <color rgb="FF006100"/>
      </font>
      <fill>
        <patternFill>
          <bgColor rgb="FFC6EFCE"/>
        </patternFill>
      </fill>
    </dxf>
    <dxf>
      <font>
        <color theme="9" tint="-0.24994659260841701"/>
      </font>
    </dxf>
    <dxf>
      <font>
        <color rgb="FFFF0000"/>
      </font>
    </dxf>
    <dxf>
      <font>
        <color rgb="FFC00000"/>
      </font>
    </dxf>
    <dxf>
      <font>
        <color rgb="FFFF0000"/>
      </font>
    </dxf>
    <dxf>
      <font>
        <color rgb="FF00B050"/>
      </font>
    </dxf>
    <dxf>
      <font>
        <color theme="7" tint="-0.24994659260841701"/>
      </font>
    </dxf>
    <dxf>
      <font>
        <color theme="9" tint="-0.24994659260841701"/>
      </font>
    </dxf>
    <dxf>
      <font>
        <color rgb="FFC00000"/>
      </font>
    </dxf>
    <dxf>
      <font>
        <color rgb="FF9C0006"/>
      </font>
      <fill>
        <patternFill>
          <bgColor rgb="FFFFC7CE"/>
        </patternFill>
      </fill>
    </dxf>
    <dxf>
      <font>
        <color rgb="FF006100"/>
      </font>
      <fill>
        <patternFill>
          <bgColor rgb="FFC6EFCE"/>
        </patternFill>
      </fill>
    </dxf>
    <dxf>
      <font>
        <color rgb="FFC00000"/>
      </font>
    </dxf>
    <dxf>
      <font>
        <color rgb="FFC00000"/>
      </font>
    </dxf>
    <dxf>
      <font>
        <color rgb="FF00B050"/>
      </font>
    </dxf>
    <dxf>
      <font>
        <color theme="7" tint="-0.24994659260841701"/>
      </font>
    </dxf>
    <dxf>
      <font>
        <color theme="1" tint="0.499984740745262"/>
      </font>
    </dxf>
    <dxf>
      <font>
        <color theme="7" tint="-0.24994659260841701"/>
      </font>
    </dxf>
    <dxf>
      <font>
        <color theme="9" tint="-0.24994659260841701"/>
      </font>
    </dxf>
    <dxf>
      <font>
        <color rgb="FFC00000"/>
      </font>
    </dxf>
    <dxf>
      <font>
        <color rgb="FF9C0006"/>
      </font>
      <fill>
        <patternFill>
          <bgColor rgb="FFFFC7CE"/>
        </patternFill>
      </fill>
    </dxf>
    <dxf>
      <font>
        <color rgb="FF006100"/>
      </font>
      <fill>
        <patternFill>
          <bgColor rgb="FFC6EFCE"/>
        </patternFill>
      </fill>
    </dxf>
    <dxf>
      <font>
        <color rgb="FFFF0000"/>
      </font>
    </dxf>
    <dxf>
      <font>
        <color rgb="FF00B050"/>
      </font>
    </dxf>
    <dxf>
      <fill>
        <patternFill>
          <bgColor theme="5" tint="0.79998168889431442"/>
        </patternFill>
      </fill>
    </dxf>
    <dxf>
      <fill>
        <patternFill>
          <bgColor theme="9" tint="0.59996337778862885"/>
        </patternFill>
      </fill>
    </dxf>
    <dxf>
      <font>
        <color theme="7" tint="-0.24994659260841701"/>
      </font>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ont>
        <color theme="7" tint="-0.24994659260841701"/>
      </font>
    </dxf>
    <dxf>
      <font>
        <color rgb="FFC00000"/>
      </font>
    </dxf>
    <dxf>
      <font>
        <color rgb="FFC00000"/>
      </font>
    </dxf>
    <dxf>
      <font>
        <color theme="7" tint="-0.24994659260841701"/>
      </font>
    </dxf>
    <dxf>
      <font>
        <color rgb="FF00B050"/>
      </font>
    </dxf>
    <dxf>
      <font>
        <color rgb="FF9C0006"/>
      </font>
      <fill>
        <patternFill>
          <bgColor rgb="FFFFC7CE"/>
        </patternFill>
      </fill>
    </dxf>
    <dxf>
      <font>
        <color rgb="FF006100"/>
      </font>
      <fill>
        <patternFill>
          <bgColor rgb="FFC6EFCE"/>
        </patternFill>
      </fill>
    </dxf>
    <dxf>
      <font>
        <color rgb="FFFF0000"/>
      </font>
    </dxf>
    <dxf>
      <font>
        <color rgb="FF00B050"/>
      </font>
    </dxf>
    <dxf>
      <font>
        <color theme="1" tint="0.499984740745262"/>
      </font>
    </dxf>
    <dxf>
      <fill>
        <patternFill>
          <bgColor theme="2"/>
        </patternFill>
      </fill>
    </dxf>
    <dxf>
      <font>
        <color theme="7" tint="-0.24994659260841701"/>
      </font>
    </dxf>
    <dxf>
      <font>
        <color theme="1" tint="0.499984740745262"/>
      </font>
    </dxf>
    <dxf>
      <font>
        <color rgb="FF9C0006"/>
      </font>
      <fill>
        <patternFill>
          <bgColor rgb="FFFFC7CE"/>
        </patternFill>
      </fill>
    </dxf>
    <dxf>
      <font>
        <color rgb="FF006100"/>
      </font>
      <fill>
        <patternFill>
          <bgColor rgb="FFC6EFCE"/>
        </patternFill>
      </fill>
    </dxf>
    <dxf>
      <font>
        <color rgb="FFFF0000"/>
      </font>
    </dxf>
    <dxf>
      <font>
        <color rgb="FF00B050"/>
      </font>
    </dxf>
    <dxf>
      <font>
        <color theme="7" tint="-0.24994659260841701"/>
      </font>
    </dxf>
    <dxf>
      <font>
        <color theme="9" tint="-0.24994659260841701"/>
      </font>
    </dxf>
    <dxf>
      <font>
        <color rgb="FFC00000"/>
      </font>
    </dxf>
    <dxf>
      <font>
        <color rgb="FFC00000"/>
      </font>
    </dxf>
    <dxf>
      <font>
        <color rgb="FFC00000"/>
      </font>
    </dxf>
    <dxf>
      <font>
        <color rgb="FF00B050"/>
      </font>
    </dxf>
    <dxf>
      <font>
        <color theme="9" tint="-0.24994659260841701"/>
      </font>
    </dxf>
    <dxf>
      <font>
        <color rgb="FF9C0006"/>
      </font>
      <fill>
        <patternFill>
          <bgColor rgb="FFFFC7CE"/>
        </patternFill>
      </fill>
    </dxf>
    <dxf>
      <font>
        <color rgb="FFC00000"/>
      </font>
    </dxf>
    <dxf>
      <font>
        <color rgb="FF00B050"/>
      </font>
    </dxf>
    <dxf>
      <font>
        <color rgb="FF006100"/>
      </font>
      <fill>
        <patternFill>
          <bgColor rgb="FFC6EFCE"/>
        </patternFill>
      </fill>
    </dxf>
    <dxf>
      <font>
        <color theme="9" tint="-0.24994659260841701"/>
      </font>
    </dxf>
    <dxf>
      <font>
        <color rgb="FFFF0000"/>
      </font>
    </dxf>
    <dxf>
      <font>
        <color rgb="FFC00000"/>
      </font>
    </dxf>
    <dxf>
      <font>
        <color rgb="FFFF0000"/>
      </font>
    </dxf>
    <dxf>
      <font>
        <color rgb="FF00B050"/>
      </font>
    </dxf>
    <dxf>
      <font>
        <color theme="7" tint="-0.24994659260841701"/>
      </font>
    </dxf>
    <dxf>
      <font>
        <color theme="9" tint="-0.24994659260841701"/>
      </font>
    </dxf>
    <dxf>
      <font>
        <color rgb="FFC00000"/>
      </font>
    </dxf>
    <dxf>
      <font>
        <color rgb="FF9C0006"/>
      </font>
      <fill>
        <patternFill>
          <bgColor rgb="FFFFC7CE"/>
        </patternFill>
      </fill>
    </dxf>
    <dxf>
      <font>
        <color rgb="FF006100"/>
      </font>
      <fill>
        <patternFill>
          <bgColor rgb="FFC6EFCE"/>
        </patternFill>
      </fill>
    </dxf>
    <dxf>
      <font>
        <color rgb="FFC00000"/>
      </font>
    </dxf>
    <dxf>
      <font>
        <color rgb="FFC00000"/>
      </font>
    </dxf>
    <dxf>
      <font>
        <color rgb="FF00B050"/>
      </font>
    </dxf>
    <dxf>
      <font>
        <color theme="7" tint="-0.24994659260841701"/>
      </font>
    </dxf>
    <dxf>
      <font>
        <color theme="1" tint="0.499984740745262"/>
      </font>
    </dxf>
    <dxf>
      <font>
        <color theme="7" tint="-0.24994659260841701"/>
      </font>
    </dxf>
    <dxf>
      <font>
        <color theme="9" tint="-0.24994659260841701"/>
      </font>
    </dxf>
    <dxf>
      <font>
        <color rgb="FFC00000"/>
      </font>
    </dxf>
    <dxf>
      <font>
        <color rgb="FF9C0006"/>
      </font>
      <fill>
        <patternFill>
          <bgColor rgb="FFFFC7CE"/>
        </patternFill>
      </fill>
    </dxf>
    <dxf>
      <font>
        <color rgb="FF006100"/>
      </font>
      <fill>
        <patternFill>
          <bgColor rgb="FFC6EFCE"/>
        </patternFill>
      </fill>
    </dxf>
    <dxf>
      <font>
        <color rgb="FFFF0000"/>
      </font>
    </dxf>
    <dxf>
      <font>
        <color rgb="FF00B050"/>
      </font>
    </dxf>
    <dxf>
      <fill>
        <patternFill>
          <bgColor theme="5" tint="0.79998168889431442"/>
        </patternFill>
      </fill>
    </dxf>
    <dxf>
      <fill>
        <patternFill>
          <bgColor theme="9" tint="0.59996337778862885"/>
        </patternFill>
      </fill>
    </dxf>
    <dxf>
      <font>
        <color theme="7" tint="-0.24994659260841701"/>
      </font>
    </dxf>
    <dxf>
      <fill>
        <patternFill>
          <bgColor theme="5" tint="0.79998168889431442"/>
        </patternFill>
      </fill>
    </dxf>
    <dxf>
      <fill>
        <patternFill>
          <bgColor theme="9" tint="0.59996337778862885"/>
        </patternFill>
      </fill>
    </dxf>
    <dxf>
      <fill>
        <patternFill>
          <bgColor theme="9" tint="0.59996337778862885"/>
        </patternFill>
      </fill>
    </dxf>
    <dxf>
      <fill>
        <patternFill>
          <bgColor theme="5" tint="0.79998168889431442"/>
        </patternFill>
      </fill>
    </dxf>
    <dxf>
      <font>
        <color theme="7" tint="-0.24994659260841701"/>
      </font>
    </dxf>
    <dxf>
      <font>
        <color rgb="FFC00000"/>
      </font>
    </dxf>
    <dxf>
      <font>
        <color rgb="FFC00000"/>
      </font>
    </dxf>
    <dxf>
      <font>
        <color theme="7" tint="-0.24994659260841701"/>
      </font>
    </dxf>
    <dxf>
      <font>
        <color rgb="FF00B050"/>
      </font>
    </dxf>
    <dxf>
      <font>
        <color rgb="FF9C0006"/>
      </font>
      <fill>
        <patternFill>
          <bgColor rgb="FFFFC7CE"/>
        </patternFill>
      </fill>
    </dxf>
    <dxf>
      <font>
        <color rgb="FF006100"/>
      </font>
      <fill>
        <patternFill>
          <bgColor rgb="FFC6EFCE"/>
        </patternFill>
      </fill>
    </dxf>
    <dxf>
      <font>
        <color rgb="FFFF0000"/>
      </font>
    </dxf>
    <dxf>
      <font>
        <color rgb="FF00B050"/>
      </font>
    </dxf>
    <dxf>
      <font>
        <color theme="1" tint="0.499984740745262"/>
      </font>
    </dxf>
    <dxf>
      <fill>
        <patternFill>
          <bgColor theme="2"/>
        </patternFill>
      </fill>
    </dxf>
    <dxf>
      <font>
        <color theme="7" tint="-0.24994659260841701"/>
      </font>
    </dxf>
    <dxf>
      <font>
        <color theme="1" tint="0.499984740745262"/>
      </font>
    </dxf>
    <dxf>
      <font>
        <color rgb="FF9C0006"/>
      </font>
      <fill>
        <patternFill>
          <bgColor rgb="FFFFC7CE"/>
        </patternFill>
      </fill>
    </dxf>
    <dxf>
      <font>
        <color rgb="FF006100"/>
      </font>
      <fill>
        <patternFill>
          <bgColor rgb="FFC6EFCE"/>
        </patternFill>
      </fill>
    </dxf>
    <dxf>
      <font>
        <color rgb="FFFF0000"/>
      </font>
    </dxf>
    <dxf>
      <font>
        <color rgb="FF00B050"/>
      </font>
    </dxf>
    <dxf>
      <font>
        <color theme="7" tint="-0.24994659260841701"/>
      </font>
    </dxf>
    <dxf>
      <font>
        <color theme="9" tint="-0.24994659260841701"/>
      </font>
    </dxf>
    <dxf>
      <font>
        <color rgb="FFC00000"/>
      </font>
    </dxf>
    <dxf>
      <font>
        <color rgb="FFC00000"/>
      </font>
    </dxf>
    <dxf>
      <font>
        <color rgb="FFC00000"/>
      </font>
    </dxf>
    <dxf>
      <font>
        <color rgb="FF00B050"/>
      </font>
    </dxf>
    <dxf>
      <font>
        <color theme="9" tint="-0.24994659260841701"/>
      </font>
    </dxf>
    <dxf>
      <font>
        <color rgb="FF9C0006"/>
      </font>
      <fill>
        <patternFill>
          <bgColor rgb="FFFFC7CE"/>
        </patternFill>
      </fill>
    </dxf>
    <dxf>
      <font>
        <color rgb="FFC00000"/>
      </font>
    </dxf>
    <dxf>
      <font>
        <color rgb="FF00B050"/>
      </font>
    </dxf>
    <dxf>
      <font>
        <color rgb="FF006100"/>
      </font>
      <fill>
        <patternFill>
          <bgColor rgb="FFC6EFCE"/>
        </patternFill>
      </fill>
    </dxf>
    <dxf>
      <font>
        <color theme="9" tint="-0.24994659260841701"/>
      </font>
    </dxf>
    <dxf>
      <font>
        <color rgb="FFFF0000"/>
      </font>
    </dxf>
    <dxf>
      <font>
        <color rgb="FFC00000"/>
      </font>
    </dxf>
    <dxf>
      <font>
        <color rgb="FFFF0000"/>
      </font>
    </dxf>
    <dxf>
      <font>
        <color rgb="FF00B050"/>
      </font>
    </dxf>
    <dxf>
      <font>
        <color theme="7" tint="-0.24994659260841701"/>
      </font>
    </dxf>
    <dxf>
      <font>
        <color theme="9" tint="-0.24994659260841701"/>
      </font>
    </dxf>
    <dxf>
      <font>
        <color rgb="FFC00000"/>
      </font>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D44B"/>
      <color rgb="FFAC8300"/>
      <color rgb="FF0000FF"/>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calcChain" Target="calcChain.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theme" Target="theme/theme1.xml"/><Relationship Id="rId8" Type="http://schemas.openxmlformats.org/officeDocument/2006/relationships/externalLink" Target="externalLinks/externalLink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22</xdr:col>
      <xdr:colOff>268260</xdr:colOff>
      <xdr:row>59</xdr:row>
      <xdr:rowOff>281341</xdr:rowOff>
    </xdr:from>
    <xdr:to>
      <xdr:col>26</xdr:col>
      <xdr:colOff>182445</xdr:colOff>
      <xdr:row>62</xdr:row>
      <xdr:rowOff>255910</xdr:rowOff>
    </xdr:to>
    <xdr:pic>
      <xdr:nvPicPr>
        <xdr:cNvPr id="2" name="Picture 1">
          <a:extLst>
            <a:ext uri="{FF2B5EF4-FFF2-40B4-BE49-F238E27FC236}">
              <a16:creationId xmlns:a16="http://schemas.microsoft.com/office/drawing/2014/main" id="{4C5A0D02-7893-AFC1-0740-11257229EAF2}"/>
            </a:ext>
          </a:extLst>
        </xdr:cNvPr>
        <xdr:cNvPicPr>
          <a:picLocks noChangeAspect="1"/>
        </xdr:cNvPicPr>
      </xdr:nvPicPr>
      <xdr:blipFill>
        <a:blip xmlns:r="http://schemas.openxmlformats.org/officeDocument/2006/relationships" r:embed="rId1"/>
        <a:stretch>
          <a:fillRect/>
        </a:stretch>
      </xdr:blipFill>
      <xdr:spPr>
        <a:xfrm>
          <a:off x="17854874" y="19461227"/>
          <a:ext cx="3329811" cy="8805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268260</xdr:colOff>
      <xdr:row>57</xdr:row>
      <xdr:rowOff>281341</xdr:rowOff>
    </xdr:from>
    <xdr:to>
      <xdr:col>26</xdr:col>
      <xdr:colOff>179270</xdr:colOff>
      <xdr:row>60</xdr:row>
      <xdr:rowOff>259085</xdr:rowOff>
    </xdr:to>
    <xdr:pic>
      <xdr:nvPicPr>
        <xdr:cNvPr id="2" name="Picture 1">
          <a:extLst>
            <a:ext uri="{FF2B5EF4-FFF2-40B4-BE49-F238E27FC236}">
              <a16:creationId xmlns:a16="http://schemas.microsoft.com/office/drawing/2014/main" id="{8DE5825D-2A20-4AAA-867D-A0A8B0794787}"/>
            </a:ext>
          </a:extLst>
        </xdr:cNvPr>
        <xdr:cNvPicPr>
          <a:picLocks noChangeAspect="1"/>
        </xdr:cNvPicPr>
      </xdr:nvPicPr>
      <xdr:blipFill>
        <a:blip xmlns:r="http://schemas.openxmlformats.org/officeDocument/2006/relationships" r:embed="rId1"/>
        <a:stretch>
          <a:fillRect/>
        </a:stretch>
      </xdr:blipFill>
      <xdr:spPr>
        <a:xfrm>
          <a:off x="18175260" y="19623441"/>
          <a:ext cx="3320960" cy="8794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643776</xdr:colOff>
      <xdr:row>57</xdr:row>
      <xdr:rowOff>168772</xdr:rowOff>
    </xdr:from>
    <xdr:to>
      <xdr:col>27</xdr:col>
      <xdr:colOff>30404</xdr:colOff>
      <xdr:row>91</xdr:row>
      <xdr:rowOff>159777</xdr:rowOff>
    </xdr:to>
    <xdr:pic>
      <xdr:nvPicPr>
        <xdr:cNvPr id="2" name="Picture 1">
          <a:extLst>
            <a:ext uri="{FF2B5EF4-FFF2-40B4-BE49-F238E27FC236}">
              <a16:creationId xmlns:a16="http://schemas.microsoft.com/office/drawing/2014/main" id="{268B9C89-9A44-465B-AB2C-79877A540F60}"/>
            </a:ext>
          </a:extLst>
        </xdr:cNvPr>
        <xdr:cNvPicPr>
          <a:picLocks noChangeAspect="1"/>
        </xdr:cNvPicPr>
      </xdr:nvPicPr>
      <xdr:blipFill>
        <a:blip xmlns:r="http://schemas.openxmlformats.org/officeDocument/2006/relationships" r:embed="rId1"/>
        <a:stretch>
          <a:fillRect/>
        </a:stretch>
      </xdr:blipFill>
      <xdr:spPr>
        <a:xfrm>
          <a:off x="17769726" y="19320372"/>
          <a:ext cx="3349028" cy="8762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643776</xdr:colOff>
      <xdr:row>57</xdr:row>
      <xdr:rowOff>168772</xdr:rowOff>
    </xdr:from>
    <xdr:to>
      <xdr:col>27</xdr:col>
      <xdr:colOff>30404</xdr:colOff>
      <xdr:row>60</xdr:row>
      <xdr:rowOff>143341</xdr:rowOff>
    </xdr:to>
    <xdr:pic>
      <xdr:nvPicPr>
        <xdr:cNvPr id="2" name="Picture 1">
          <a:extLst>
            <a:ext uri="{FF2B5EF4-FFF2-40B4-BE49-F238E27FC236}">
              <a16:creationId xmlns:a16="http://schemas.microsoft.com/office/drawing/2014/main" id="{E8F7EAC7-2746-49DD-9EEF-0B2B2EEC62A5}"/>
            </a:ext>
          </a:extLst>
        </xdr:cNvPr>
        <xdr:cNvPicPr>
          <a:picLocks noChangeAspect="1"/>
        </xdr:cNvPicPr>
      </xdr:nvPicPr>
      <xdr:blipFill>
        <a:blip xmlns:r="http://schemas.openxmlformats.org/officeDocument/2006/relationships" r:embed="rId1"/>
        <a:stretch>
          <a:fillRect/>
        </a:stretch>
      </xdr:blipFill>
      <xdr:spPr>
        <a:xfrm>
          <a:off x="17769726" y="19320372"/>
          <a:ext cx="3349028" cy="8762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24</xdr:col>
      <xdr:colOff>342900</xdr:colOff>
      <xdr:row>18</xdr:row>
      <xdr:rowOff>50800</xdr:rowOff>
    </xdr:from>
    <xdr:to>
      <xdr:col>36</xdr:col>
      <xdr:colOff>388220</xdr:colOff>
      <xdr:row>23</xdr:row>
      <xdr:rowOff>150896</xdr:rowOff>
    </xdr:to>
    <xdr:pic>
      <xdr:nvPicPr>
        <xdr:cNvPr id="2" name="Picture 1">
          <a:extLst>
            <a:ext uri="{FF2B5EF4-FFF2-40B4-BE49-F238E27FC236}">
              <a16:creationId xmlns:a16="http://schemas.microsoft.com/office/drawing/2014/main" id="{F9EE751E-7B5C-4FC9-976D-9814B2855009}"/>
            </a:ext>
          </a:extLst>
        </xdr:cNvPr>
        <xdr:cNvPicPr>
          <a:picLocks noChangeAspect="1"/>
        </xdr:cNvPicPr>
      </xdr:nvPicPr>
      <xdr:blipFill>
        <a:blip xmlns:r="http://schemas.openxmlformats.org/officeDocument/2006/relationships" r:embed="rId1"/>
        <a:stretch>
          <a:fillRect/>
        </a:stretch>
      </xdr:blipFill>
      <xdr:spPr>
        <a:xfrm>
          <a:off x="20745450" y="6843713"/>
          <a:ext cx="8098708" cy="2792496"/>
        </a:xfrm>
        <a:prstGeom prst="rect">
          <a:avLst/>
        </a:prstGeom>
      </xdr:spPr>
    </xdr:pic>
    <xdr:clientData/>
  </xdr:twoCellAnchor>
  <xdr:twoCellAnchor editAs="oneCell">
    <xdr:from>
      <xdr:col>24</xdr:col>
      <xdr:colOff>0</xdr:colOff>
      <xdr:row>16</xdr:row>
      <xdr:rowOff>0</xdr:rowOff>
    </xdr:from>
    <xdr:to>
      <xdr:col>42</xdr:col>
      <xdr:colOff>167995</xdr:colOff>
      <xdr:row>16</xdr:row>
      <xdr:rowOff>858883</xdr:rowOff>
    </xdr:to>
    <xdr:pic>
      <xdr:nvPicPr>
        <xdr:cNvPr id="3" name="Picture 2">
          <a:extLst>
            <a:ext uri="{FF2B5EF4-FFF2-40B4-BE49-F238E27FC236}">
              <a16:creationId xmlns:a16="http://schemas.microsoft.com/office/drawing/2014/main" id="{CF16D8BE-1700-4CC2-B6C5-E13AA876C731}"/>
            </a:ext>
          </a:extLst>
        </xdr:cNvPr>
        <xdr:cNvPicPr>
          <a:picLocks noChangeAspect="1"/>
        </xdr:cNvPicPr>
      </xdr:nvPicPr>
      <xdr:blipFill>
        <a:blip xmlns:r="http://schemas.openxmlformats.org/officeDocument/2006/relationships" r:embed="rId2"/>
        <a:stretch>
          <a:fillRect/>
        </a:stretch>
      </xdr:blipFill>
      <xdr:spPr>
        <a:xfrm>
          <a:off x="20402550" y="5367338"/>
          <a:ext cx="12180607" cy="858883"/>
        </a:xfrm>
        <a:prstGeom prst="rect">
          <a:avLst/>
        </a:prstGeom>
      </xdr:spPr>
    </xdr:pic>
    <xdr:clientData/>
  </xdr:twoCellAnchor>
  <xdr:twoCellAnchor editAs="oneCell">
    <xdr:from>
      <xdr:col>21</xdr:col>
      <xdr:colOff>25400</xdr:colOff>
      <xdr:row>20</xdr:row>
      <xdr:rowOff>438151</xdr:rowOff>
    </xdr:from>
    <xdr:to>
      <xdr:col>22</xdr:col>
      <xdr:colOff>479186</xdr:colOff>
      <xdr:row>22</xdr:row>
      <xdr:rowOff>415928</xdr:rowOff>
    </xdr:to>
    <xdr:pic>
      <xdr:nvPicPr>
        <xdr:cNvPr id="4" name="Picture 3">
          <a:extLst>
            <a:ext uri="{FF2B5EF4-FFF2-40B4-BE49-F238E27FC236}">
              <a16:creationId xmlns:a16="http://schemas.microsoft.com/office/drawing/2014/main" id="{EFD89FF0-7346-463A-B13F-EF434FAFEEB3}"/>
            </a:ext>
          </a:extLst>
        </xdr:cNvPr>
        <xdr:cNvPicPr>
          <a:picLocks noChangeAspect="1"/>
        </xdr:cNvPicPr>
      </xdr:nvPicPr>
      <xdr:blipFill>
        <a:blip xmlns:r="http://schemas.openxmlformats.org/officeDocument/2006/relationships" r:embed="rId3"/>
        <a:stretch>
          <a:fillRect/>
        </a:stretch>
      </xdr:blipFill>
      <xdr:spPr>
        <a:xfrm>
          <a:off x="18345151" y="7972426"/>
          <a:ext cx="1164988" cy="1449389"/>
        </a:xfrm>
        <a:prstGeom prst="rect">
          <a:avLst/>
        </a:prstGeom>
      </xdr:spPr>
    </xdr:pic>
    <xdr:clientData/>
  </xdr:twoCellAnchor>
  <xdr:twoCellAnchor editAs="oneCell">
    <xdr:from>
      <xdr:col>23</xdr:col>
      <xdr:colOff>342900</xdr:colOff>
      <xdr:row>18</xdr:row>
      <xdr:rowOff>50800</xdr:rowOff>
    </xdr:from>
    <xdr:to>
      <xdr:col>34</xdr:col>
      <xdr:colOff>629520</xdr:colOff>
      <xdr:row>23</xdr:row>
      <xdr:rowOff>147722</xdr:rowOff>
    </xdr:to>
    <xdr:pic>
      <xdr:nvPicPr>
        <xdr:cNvPr id="5" name="Picture 4">
          <a:extLst>
            <a:ext uri="{FF2B5EF4-FFF2-40B4-BE49-F238E27FC236}">
              <a16:creationId xmlns:a16="http://schemas.microsoft.com/office/drawing/2014/main" id="{E3ECB017-3B0E-433C-BFB1-DD16EE7B4D28}"/>
            </a:ext>
          </a:extLst>
        </xdr:cNvPr>
        <xdr:cNvPicPr>
          <a:picLocks noChangeAspect="1"/>
        </xdr:cNvPicPr>
      </xdr:nvPicPr>
      <xdr:blipFill>
        <a:blip xmlns:r="http://schemas.openxmlformats.org/officeDocument/2006/relationships" r:embed="rId1"/>
        <a:stretch>
          <a:fillRect/>
        </a:stretch>
      </xdr:blipFill>
      <xdr:spPr>
        <a:xfrm>
          <a:off x="20999450" y="7042150"/>
          <a:ext cx="8078070" cy="2797259"/>
        </a:xfrm>
        <a:prstGeom prst="rect">
          <a:avLst/>
        </a:prstGeom>
      </xdr:spPr>
    </xdr:pic>
    <xdr:clientData/>
  </xdr:twoCellAnchor>
  <xdr:twoCellAnchor editAs="oneCell">
    <xdr:from>
      <xdr:col>23</xdr:col>
      <xdr:colOff>0</xdr:colOff>
      <xdr:row>16</xdr:row>
      <xdr:rowOff>0</xdr:rowOff>
    </xdr:from>
    <xdr:to>
      <xdr:col>40</xdr:col>
      <xdr:colOff>417233</xdr:colOff>
      <xdr:row>16</xdr:row>
      <xdr:rowOff>858883</xdr:rowOff>
    </xdr:to>
    <xdr:pic>
      <xdr:nvPicPr>
        <xdr:cNvPr id="6" name="Picture 5">
          <a:extLst>
            <a:ext uri="{FF2B5EF4-FFF2-40B4-BE49-F238E27FC236}">
              <a16:creationId xmlns:a16="http://schemas.microsoft.com/office/drawing/2014/main" id="{791DB9E3-66ED-4BEC-AACD-79FE93B6B225}"/>
            </a:ext>
          </a:extLst>
        </xdr:cNvPr>
        <xdr:cNvPicPr>
          <a:picLocks noChangeAspect="1"/>
        </xdr:cNvPicPr>
      </xdr:nvPicPr>
      <xdr:blipFill>
        <a:blip xmlns:r="http://schemas.openxmlformats.org/officeDocument/2006/relationships" r:embed="rId2"/>
        <a:stretch>
          <a:fillRect/>
        </a:stretch>
      </xdr:blipFill>
      <xdr:spPr>
        <a:xfrm>
          <a:off x="20656550" y="5111750"/>
          <a:ext cx="12150444" cy="858883"/>
        </a:xfrm>
        <a:prstGeom prst="rect">
          <a:avLst/>
        </a:prstGeom>
      </xdr:spPr>
    </xdr:pic>
    <xdr:clientData/>
  </xdr:twoCellAnchor>
  <xdr:twoCellAnchor editAs="oneCell">
    <xdr:from>
      <xdr:col>20</xdr:col>
      <xdr:colOff>25400</xdr:colOff>
      <xdr:row>20</xdr:row>
      <xdr:rowOff>438151</xdr:rowOff>
    </xdr:from>
    <xdr:to>
      <xdr:col>21</xdr:col>
      <xdr:colOff>495065</xdr:colOff>
      <xdr:row>22</xdr:row>
      <xdr:rowOff>414341</xdr:rowOff>
    </xdr:to>
    <xdr:pic>
      <xdr:nvPicPr>
        <xdr:cNvPr id="7" name="Picture 6">
          <a:extLst>
            <a:ext uri="{FF2B5EF4-FFF2-40B4-BE49-F238E27FC236}">
              <a16:creationId xmlns:a16="http://schemas.microsoft.com/office/drawing/2014/main" id="{4085C375-B900-4B80-90A0-110EA9527CB7}"/>
            </a:ext>
          </a:extLst>
        </xdr:cNvPr>
        <xdr:cNvPicPr>
          <a:picLocks noChangeAspect="1"/>
        </xdr:cNvPicPr>
      </xdr:nvPicPr>
      <xdr:blipFill>
        <a:blip xmlns:r="http://schemas.openxmlformats.org/officeDocument/2006/relationships" r:embed="rId3"/>
        <a:stretch>
          <a:fillRect/>
        </a:stretch>
      </xdr:blipFill>
      <xdr:spPr>
        <a:xfrm>
          <a:off x="18599150" y="8172451"/>
          <a:ext cx="1164989" cy="1450977"/>
        </a:xfrm>
        <a:prstGeom prst="rect">
          <a:avLst/>
        </a:prstGeom>
      </xdr:spPr>
    </xdr:pic>
    <xdr:clientData/>
  </xdr:twoCellAnchor>
  <xdr:twoCellAnchor editAs="oneCell">
    <xdr:from>
      <xdr:col>19</xdr:col>
      <xdr:colOff>44450</xdr:colOff>
      <xdr:row>35</xdr:row>
      <xdr:rowOff>95250</xdr:rowOff>
    </xdr:from>
    <xdr:to>
      <xdr:col>28</xdr:col>
      <xdr:colOff>557553</xdr:colOff>
      <xdr:row>36</xdr:row>
      <xdr:rowOff>449302</xdr:rowOff>
    </xdr:to>
    <xdr:pic>
      <xdr:nvPicPr>
        <xdr:cNvPr id="8" name="Picture 7">
          <a:extLst>
            <a:ext uri="{FF2B5EF4-FFF2-40B4-BE49-F238E27FC236}">
              <a16:creationId xmlns:a16="http://schemas.microsoft.com/office/drawing/2014/main" id="{350D053C-D5F2-434E-ACA8-5D3DC8650FB0}"/>
            </a:ext>
          </a:extLst>
        </xdr:cNvPr>
        <xdr:cNvPicPr>
          <a:picLocks noChangeAspect="1"/>
        </xdr:cNvPicPr>
      </xdr:nvPicPr>
      <xdr:blipFill>
        <a:blip xmlns:r="http://schemas.openxmlformats.org/officeDocument/2006/relationships" r:embed="rId4"/>
        <a:stretch>
          <a:fillRect/>
        </a:stretch>
      </xdr:blipFill>
      <xdr:spPr>
        <a:xfrm>
          <a:off x="18395950" y="16967200"/>
          <a:ext cx="6629740" cy="771564"/>
        </a:xfrm>
        <a:prstGeom prst="rect">
          <a:avLst/>
        </a:prstGeom>
      </xdr:spPr>
    </xdr:pic>
    <xdr:clientData/>
  </xdr:twoCellAnchor>
  <xdr:twoCellAnchor editAs="oneCell">
    <xdr:from>
      <xdr:col>23</xdr:col>
      <xdr:colOff>342900</xdr:colOff>
      <xdr:row>18</xdr:row>
      <xdr:rowOff>50800</xdr:rowOff>
    </xdr:from>
    <xdr:to>
      <xdr:col>34</xdr:col>
      <xdr:colOff>529508</xdr:colOff>
      <xdr:row>23</xdr:row>
      <xdr:rowOff>138197</xdr:rowOff>
    </xdr:to>
    <xdr:pic>
      <xdr:nvPicPr>
        <xdr:cNvPr id="9" name="Picture 8">
          <a:extLst>
            <a:ext uri="{FF2B5EF4-FFF2-40B4-BE49-F238E27FC236}">
              <a16:creationId xmlns:a16="http://schemas.microsoft.com/office/drawing/2014/main" id="{35E2C327-B193-4B2E-A5AC-680C611CC8C4}"/>
            </a:ext>
          </a:extLst>
        </xdr:cNvPr>
        <xdr:cNvPicPr>
          <a:picLocks noChangeAspect="1"/>
        </xdr:cNvPicPr>
      </xdr:nvPicPr>
      <xdr:blipFill>
        <a:blip xmlns:r="http://schemas.openxmlformats.org/officeDocument/2006/relationships" r:embed="rId1"/>
        <a:stretch>
          <a:fillRect/>
        </a:stretch>
      </xdr:blipFill>
      <xdr:spPr>
        <a:xfrm>
          <a:off x="20948650" y="7042150"/>
          <a:ext cx="8008220" cy="2781384"/>
        </a:xfrm>
        <a:prstGeom prst="rect">
          <a:avLst/>
        </a:prstGeom>
      </xdr:spPr>
    </xdr:pic>
    <xdr:clientData/>
  </xdr:twoCellAnchor>
  <xdr:twoCellAnchor editAs="oneCell">
    <xdr:from>
      <xdr:col>23</xdr:col>
      <xdr:colOff>0</xdr:colOff>
      <xdr:row>16</xdr:row>
      <xdr:rowOff>0</xdr:rowOff>
    </xdr:from>
    <xdr:to>
      <xdr:col>40</xdr:col>
      <xdr:colOff>255308</xdr:colOff>
      <xdr:row>16</xdr:row>
      <xdr:rowOff>858883</xdr:rowOff>
    </xdr:to>
    <xdr:pic>
      <xdr:nvPicPr>
        <xdr:cNvPr id="10" name="Picture 9">
          <a:extLst>
            <a:ext uri="{FF2B5EF4-FFF2-40B4-BE49-F238E27FC236}">
              <a16:creationId xmlns:a16="http://schemas.microsoft.com/office/drawing/2014/main" id="{743FD661-B804-4840-A05A-68567C51DC09}"/>
            </a:ext>
          </a:extLst>
        </xdr:cNvPr>
        <xdr:cNvPicPr>
          <a:picLocks noChangeAspect="1"/>
        </xdr:cNvPicPr>
      </xdr:nvPicPr>
      <xdr:blipFill>
        <a:blip xmlns:r="http://schemas.openxmlformats.org/officeDocument/2006/relationships" r:embed="rId2"/>
        <a:stretch>
          <a:fillRect/>
        </a:stretch>
      </xdr:blipFill>
      <xdr:spPr>
        <a:xfrm>
          <a:off x="20605750" y="5111750"/>
          <a:ext cx="12042494" cy="858883"/>
        </a:xfrm>
        <a:prstGeom prst="rect">
          <a:avLst/>
        </a:prstGeom>
      </xdr:spPr>
    </xdr:pic>
    <xdr:clientData/>
  </xdr:twoCellAnchor>
  <xdr:twoCellAnchor editAs="oneCell">
    <xdr:from>
      <xdr:col>20</xdr:col>
      <xdr:colOff>25400</xdr:colOff>
      <xdr:row>20</xdr:row>
      <xdr:rowOff>438151</xdr:rowOff>
    </xdr:from>
    <xdr:to>
      <xdr:col>21</xdr:col>
      <xdr:colOff>498240</xdr:colOff>
      <xdr:row>22</xdr:row>
      <xdr:rowOff>404816</xdr:rowOff>
    </xdr:to>
    <xdr:pic>
      <xdr:nvPicPr>
        <xdr:cNvPr id="11" name="Picture 10">
          <a:extLst>
            <a:ext uri="{FF2B5EF4-FFF2-40B4-BE49-F238E27FC236}">
              <a16:creationId xmlns:a16="http://schemas.microsoft.com/office/drawing/2014/main" id="{464EF77B-84F9-4120-B13E-3404A072D8C1}"/>
            </a:ext>
          </a:extLst>
        </xdr:cNvPr>
        <xdr:cNvPicPr>
          <a:picLocks noChangeAspect="1"/>
        </xdr:cNvPicPr>
      </xdr:nvPicPr>
      <xdr:blipFill>
        <a:blip xmlns:r="http://schemas.openxmlformats.org/officeDocument/2006/relationships" r:embed="rId3"/>
        <a:stretch>
          <a:fillRect/>
        </a:stretch>
      </xdr:blipFill>
      <xdr:spPr>
        <a:xfrm>
          <a:off x="18554700" y="8172451"/>
          <a:ext cx="1164989" cy="14351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1336675</xdr:colOff>
      <xdr:row>1</xdr:row>
      <xdr:rowOff>0</xdr:rowOff>
    </xdr:from>
    <xdr:to>
      <xdr:col>6</xdr:col>
      <xdr:colOff>678</xdr:colOff>
      <xdr:row>5</xdr:row>
      <xdr:rowOff>28881</xdr:rowOff>
    </xdr:to>
    <xdr:sp macro="" textlink="">
      <xdr:nvSpPr>
        <xdr:cNvPr id="2" name="Arrow: Right 1">
          <a:extLst>
            <a:ext uri="{FF2B5EF4-FFF2-40B4-BE49-F238E27FC236}">
              <a16:creationId xmlns:a16="http://schemas.microsoft.com/office/drawing/2014/main" id="{9A8456CA-4547-4C6A-B66E-638EBFFA97C3}"/>
            </a:ext>
          </a:extLst>
        </xdr:cNvPr>
        <xdr:cNvSpPr/>
      </xdr:nvSpPr>
      <xdr:spPr>
        <a:xfrm>
          <a:off x="6954838" y="114300"/>
          <a:ext cx="1542140" cy="525769"/>
        </a:xfrm>
        <a:prstGeom prst="rightArrow">
          <a:avLst/>
        </a:prstGeom>
        <a:solidFill>
          <a:sysClr val="window" lastClr="FFFFFF"/>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rgbClr val="FF0000"/>
              </a:solidFill>
            </a:rPr>
            <a:t>New</a:t>
          </a:r>
          <a:r>
            <a:rPr lang="th-TH" sz="1100">
              <a:solidFill>
                <a:srgbClr val="FF0000"/>
              </a:solidFill>
            </a:rPr>
            <a:t> </a:t>
          </a:r>
          <a:r>
            <a:rPr lang="en-US" sz="1100">
              <a:solidFill>
                <a:srgbClr val="FF0000"/>
              </a:solidFill>
            </a:rPr>
            <a:t>ERP</a:t>
          </a:r>
          <a:r>
            <a:rPr lang="th-TH" sz="1100">
              <a:solidFill>
                <a:srgbClr val="FF0000"/>
              </a:solidFill>
            </a:rPr>
            <a:t> </a:t>
          </a:r>
          <a:r>
            <a:rPr lang="en-US" sz="1100">
              <a:solidFill>
                <a:srgbClr val="FF0000"/>
              </a:solidFill>
            </a:rPr>
            <a:t>:</a:t>
          </a:r>
          <a:r>
            <a:rPr lang="en-US" sz="1100" baseline="0">
              <a:solidFill>
                <a:srgbClr val="FF0000"/>
              </a:solidFill>
            </a:rPr>
            <a:t> Go-live 5 </a:t>
          </a:r>
          <a:r>
            <a:rPr lang="th-TH" sz="1100" baseline="0">
              <a:solidFill>
                <a:srgbClr val="FF0000"/>
              </a:solidFill>
            </a:rPr>
            <a:t>พ.ย. 68</a:t>
          </a:r>
          <a:endParaRPr lang="th-TH" sz="1100">
            <a:solidFill>
              <a:srgbClr val="FF0000"/>
            </a:solidFill>
          </a:endParaRPr>
        </a:p>
      </xdr:txBody>
    </xdr:sp>
    <xdr:clientData/>
  </xdr:twoCellAnchor>
  <xdr:twoCellAnchor>
    <xdr:from>
      <xdr:col>1</xdr:col>
      <xdr:colOff>869949</xdr:colOff>
      <xdr:row>9</xdr:row>
      <xdr:rowOff>266700</xdr:rowOff>
    </xdr:from>
    <xdr:to>
      <xdr:col>1</xdr:col>
      <xdr:colOff>869949</xdr:colOff>
      <xdr:row>12</xdr:row>
      <xdr:rowOff>59394</xdr:rowOff>
    </xdr:to>
    <xdr:sp macro="" textlink="">
      <xdr:nvSpPr>
        <xdr:cNvPr id="3" name="Arrow: Down 2">
          <a:extLst>
            <a:ext uri="{FF2B5EF4-FFF2-40B4-BE49-F238E27FC236}">
              <a16:creationId xmlns:a16="http://schemas.microsoft.com/office/drawing/2014/main" id="{FDED244F-BC86-4160-BA6C-93DB12D70131}"/>
            </a:ext>
          </a:extLst>
        </xdr:cNvPr>
        <xdr:cNvSpPr/>
      </xdr:nvSpPr>
      <xdr:spPr>
        <a:xfrm flipH="1">
          <a:off x="1866900" y="1423988"/>
          <a:ext cx="0" cy="535644"/>
        </a:xfrm>
        <a:prstGeom prst="downArrow">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th-TH"/>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1---&#3588;&#3656;&#3634;&#3621;&#3656;&#3623;&#3591;&#3648;&#3623;&#3621;&#3634;%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1---&#3588;&#3656;&#3634;&#3621;&#3656;&#3623;&#3591;&#3648;&#3623;&#3621;&#3634;%20&#3611;&#3637;70.xlsx" TargetMode="External"/><Relationship Id="rId1" Type="http://schemas.openxmlformats.org/officeDocument/2006/relationships/externalLinkPath" Target="/personal/panorp_bot_or_th/Documents/&#3613;&#3619;&#3616;/7%20&#3591;&#3611;&#3617;/&#3611;&#3637;%2069/5%20&#3591;&#3610;&#3611;&#3637;%2070/working%20&#3591;&#3610;&#3611;&#3637;70-ePB/A1---&#3588;&#3656;&#3634;&#3621;&#3656;&#3623;&#3591;&#3648;&#3623;&#3621;&#3634;%20&#3611;&#3637;70.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2---&#3648;&#3591;&#3636;&#3609;&#3594;&#3656;&#3623;&#3618;&#3648;&#3627;&#3621;&#3639;&#3629;&#3614;&#3636;&#3648;&#3624;&#3625;--&#3588;&#3656;&#3634;&#3648;&#3586;&#3657;&#3634;&#3648;&#3623;&#3619;%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2---&#3648;&#3591;&#3636;&#3609;&#3594;&#3656;&#3623;&#3618;&#3648;&#3627;&#3621;&#3639;&#3629;&#3614;&#3636;&#3648;&#3624;&#3625;--&#3588;&#3656;&#3634;&#3648;&#3586;&#3657;&#3634;&#3648;&#3623;&#3619;%20&#3611;&#3637;70.xlsx" TargetMode="External"/><Relationship Id="rId1" Type="http://schemas.openxmlformats.org/officeDocument/2006/relationships/externalLinkPath" Target="/personal/panorp_bot_or_th/Documents/&#3613;&#3619;&#3616;/7%20&#3591;&#3611;&#3617;/&#3611;&#3637;%2069/5%20&#3591;&#3610;&#3611;&#3637;%2070/working%20&#3591;&#3610;&#3611;&#3637;70-ePB/A2---&#3648;&#3591;&#3636;&#3609;&#3594;&#3656;&#3623;&#3618;&#3648;&#3627;&#3621;&#3639;&#3629;&#3614;&#3636;&#3648;&#3624;&#3625;--&#3588;&#3656;&#3634;&#3648;&#3586;&#3657;&#3634;&#3648;&#3623;&#3619;%20&#3611;&#3637;70.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2---&#3648;&#3591;&#3636;&#3609;&#3594;&#3656;&#3623;&#3618;&#3648;&#3627;&#3621;&#3639;&#3629;&#3629;&#3639;&#3656;&#3609;--&#3611;&#3599;&#3636;&#3610;&#3633;&#3605;&#3636;&#3591;&#3634;&#3609;&#3605;&#3656;&#3634;&#3591;%20&#3626;&#3609;&#3591;%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2---&#3648;&#3591;&#3636;&#3609;&#3594;&#3656;&#3623;&#3618;&#3648;&#3627;&#3621;&#3639;&#3629;&#3629;&#3639;&#3656;&#3609;--&#3611;&#3599;&#3636;&#3610;&#3633;&#3605;&#3636;&#3591;&#3634;&#3609;&#3605;&#3656;&#3634;&#3591;%20&#3626;&#3609;&#3591;%20&#3611;&#3637;70.xlsx" TargetMode="External"/><Relationship Id="rId1" Type="http://schemas.openxmlformats.org/officeDocument/2006/relationships/externalLinkPath" Target="/personal/panorp_bot_or_th/Documents/&#3613;&#3619;&#3616;/7%20&#3591;&#3611;&#3617;/&#3611;&#3637;%2069/5%20&#3591;&#3610;&#3611;&#3637;%2070/working%20&#3591;&#3610;&#3611;&#3637;70-ePB/A2---&#3648;&#3591;&#3636;&#3609;&#3594;&#3656;&#3623;&#3618;&#3648;&#3627;&#3621;&#3639;&#3629;&#3629;&#3639;&#3656;&#3609;--&#3611;&#3599;&#3636;&#3610;&#3633;&#3605;&#3636;&#3591;&#3634;&#3609;&#3605;&#3656;&#3634;&#3591;%20&#3626;&#3609;&#3591;%20&#3611;&#3637;70.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4-1-&#3588;&#3656;&#3634;&#3648;&#3594;&#3656;&#3634;&#3594;&#3640;&#3604;&#3626;&#3641;&#3607;%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4-1-&#3588;&#3656;&#3634;&#3648;&#3594;&#3656;&#3634;&#3594;&#3640;&#3604;&#3626;&#3641;&#3607;%20&#3611;&#3637;70.xlsx" TargetMode="External"/><Relationship Id="rId1" Type="http://schemas.openxmlformats.org/officeDocument/2006/relationships/externalLinkPath" Target="/personal/panorp_bot_or_th/Documents/&#3613;&#3619;&#3616;/7%20&#3591;&#3611;&#3617;/&#3611;&#3637;%2069/5%20&#3591;&#3610;&#3611;&#3637;%2070/working%20&#3591;&#3610;&#3611;&#3637;70-ePB/A4-1-&#3588;&#3656;&#3634;&#3648;&#3594;&#3656;&#3634;&#3594;&#3640;&#3604;&#3626;&#3641;&#3607;%20&#3611;&#3637;70.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5---&#3612;&#3626;&#3623;%20&#3611;&#3637;%2025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5---&#3612;&#3626;&#3623;%20&#3611;&#3637;%202570.xlsx" TargetMode="External"/><Relationship Id="rId1" Type="http://schemas.openxmlformats.org/officeDocument/2006/relationships/externalLinkPath" Target="/personal/panorp_bot_or_th/Documents/&#3613;&#3619;&#3616;/7%20&#3591;&#3611;&#3617;/&#3611;&#3637;%2069/5%20&#3591;&#3610;&#3611;&#3637;%2070/working%20&#3591;&#3610;&#3611;&#3637;70-ePB/A5---&#3612;&#3626;&#3623;%20&#3611;&#3637;%202570.xlsx"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5---&#3588;&#3656;&#3634;&#3613;&#3638;&#3585;&#3629;&#3610;&#3619;&#3617;%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5---&#3588;&#3656;&#3634;&#3613;&#3638;&#3585;&#3629;&#3610;&#3619;&#3617;%20&#3611;&#3637;70.xlsx" TargetMode="External"/><Relationship Id="rId1" Type="http://schemas.openxmlformats.org/officeDocument/2006/relationships/externalLinkPath" Target="/personal/panorp_bot_or_th/Documents/&#3613;&#3619;&#3616;/7%20&#3591;&#3611;&#3617;/&#3611;&#3637;%2069/5%20&#3591;&#3610;&#3611;&#3637;%2070/working%20&#3591;&#3610;&#3611;&#3637;70-ePB/A5---&#3588;&#3656;&#3634;&#3613;&#3638;&#3585;&#3629;&#3610;&#3619;&#3617;%20&#3611;&#3637;70.xlsx" TargetMode="External"/></Relationships>
</file>

<file path=xl/externalLinks/_rels/externalLink7.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7-1-&#3626;&#3619;&#3640;&#3611;&#3588;&#3656;&#3634;&#3592;&#3657;&#3634;OS-&#3611;&#3637;69.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7-1-&#3626;&#3619;&#3640;&#3611;&#3588;&#3656;&#3634;&#3592;&#3657;&#3634;OS-&#3611;&#3637;69.xlsx" TargetMode="External"/><Relationship Id="rId1" Type="http://schemas.openxmlformats.org/officeDocument/2006/relationships/externalLinkPath" Target="/personal/panorp_bot_or_th/Documents/&#3613;&#3619;&#3616;/7%20&#3591;&#3611;&#3617;/&#3611;&#3637;%2069/5%20&#3591;&#3610;&#3611;&#3637;%2070/working%20&#3591;&#3610;&#3611;&#3637;70-ePB/A7-1-&#3626;&#3619;&#3640;&#3611;&#3588;&#3656;&#3634;&#3592;&#3657;&#3634;OS-&#3611;&#3637;69.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upd.14&#3626;&#3588;Template1_&#3626;&#3597;%20&#3648;&#3585;&#3656;&#3634;--&#3649;&#3610;&#3610;&#3588;&#3635;&#3586;&#3629;&#3591;&#3610;&#3611;&#3619;&#3632;&#3617;&#3634;&#3603;%20outsource%20&#3611;&#3637;%202570%20-%20Copy&#3626;&#3656;&#3591;&#3613;&#3612;&#3591;.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upd.14&#3626;&#3588;Template1_&#3626;&#3597;%20&#3648;&#3585;&#3656;&#3634;--&#3649;&#3610;&#3610;&#3588;&#3635;&#3586;&#3629;&#3591;&#3610;&#3611;&#3619;&#3632;&#3617;&#3634;&#3603;%20outsource%20&#3611;&#3637;%202570%20-%20Copy&#3626;&#3656;&#3591;&#3613;&#3612;&#3591;.xlsx" TargetMode="External"/><Relationship Id="rId1" Type="http://schemas.openxmlformats.org/officeDocument/2006/relationships/externalLinkPath" Target="/personal/panorp_bot_or_th/Documents/&#3613;&#3619;&#3616;/7%20&#3591;&#3611;&#3617;/&#3611;&#3637;%2069/5%20&#3591;&#3610;&#3611;&#3637;%2070/working%20&#3591;&#3610;&#3611;&#3637;70-ePB/upd.14&#3626;&#3588;Template1_&#3626;&#3597;%20&#3648;&#3585;&#3656;&#3634;--&#3649;&#3610;&#3610;&#3588;&#3635;&#3586;&#3629;&#3591;&#3610;&#3611;&#3619;&#3632;&#3617;&#3634;&#3603;%20outsource%20&#3611;&#3637;%202570%20-%20Copy&#3626;&#3656;&#3591;&#3613;&#3612;&#3591;.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6-1-&#3626;&#3619;&#3640;&#3611;&#3588;&#3656;&#3634;&#3592;&#3657;&#3634;OS-&#3611;&#3637;69.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6-1-&#3626;&#3619;&#3640;&#3611;&#3588;&#3656;&#3634;&#3592;&#3657;&#3634;OS-&#3611;&#3637;69.xlsx" TargetMode="External"/><Relationship Id="rId1" Type="http://schemas.openxmlformats.org/officeDocument/2006/relationships/externalLinkPath" Target="/personal/panorp_bot_or_th/Documents/&#3613;&#3619;&#3616;/7%20&#3591;&#3611;&#3617;/&#3611;&#3637;%2069/5%20&#3591;&#3610;&#3611;&#3637;%2070/working%20&#3591;&#3610;&#3611;&#3637;70-ePB/A6-1-&#3626;&#3619;&#3640;&#3611;&#3588;&#3656;&#3634;&#3592;&#3657;&#3634;OS-&#3611;&#3637;69.xlsx" TargetMode="External"/></Relationships>
</file>

<file path=xl/externalLinks/_rels/externalLink10.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8---&#3588;&#3656;&#3634;&#3592;&#3657;&#3634;&#3591;&#3649;&#3619;&#3591;&#3591;&#3634;&#3609;&#3607;&#3635;&#3586;&#3629;&#3591;%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8---&#3588;&#3656;&#3634;&#3592;&#3657;&#3634;&#3591;&#3649;&#3619;&#3591;&#3591;&#3634;&#3609;&#3607;&#3635;&#3586;&#3629;&#3591;%20&#3611;&#3637;70.xlsx" TargetMode="External"/><Relationship Id="rId1" Type="http://schemas.openxmlformats.org/officeDocument/2006/relationships/externalLinkPath" Target="/personal/panorp_bot_or_th/Documents/&#3613;&#3619;&#3616;/7%20&#3591;&#3611;&#3617;/&#3611;&#3637;%2069/5%20&#3591;&#3610;&#3611;&#3637;%2070/working%20&#3591;&#3610;&#3611;&#3637;70-ePB/A8---&#3588;&#3656;&#3634;&#3592;&#3657;&#3634;&#3591;&#3649;&#3619;&#3591;&#3591;&#3634;&#3609;&#3607;&#3635;&#3586;&#3629;&#3591;%20&#3611;&#3637;70.xlsx"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9---&#3588;&#3656;&#3634;&#3605;&#3629;&#3610;&#3649;&#3607;&#3609;&#3610;&#3640;&#3588;&#3588;&#3621;&#3616;&#3634;&#3618;&#3609;&#3629;&#3585;%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9---&#3588;&#3656;&#3634;&#3605;&#3629;&#3610;&#3649;&#3607;&#3609;&#3610;&#3640;&#3588;&#3588;&#3621;&#3616;&#3634;&#3618;&#3609;&#3629;&#3585;%20&#3611;&#3637;70.xlsx" TargetMode="External"/><Relationship Id="rId1" Type="http://schemas.openxmlformats.org/officeDocument/2006/relationships/externalLinkPath" Target="/personal/panorp_bot_or_th/Documents/&#3613;&#3619;&#3616;/7%20&#3591;&#3611;&#3617;/&#3611;&#3637;%2069/5%20&#3591;&#3610;&#3611;&#3637;%2070/working%20&#3591;&#3610;&#3611;&#3637;70-ePB/A9---&#3588;&#3656;&#3634;&#3605;&#3629;&#3610;&#3649;&#3607;&#3609;&#3610;&#3640;&#3588;&#3588;&#3621;&#3616;&#3634;&#3618;&#3609;&#3629;&#3585;%20&#3611;&#3637;70.xlsx" TargetMode="External"/></Relationships>
</file>

<file path=xl/externalLinks/_rels/externalLink12.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10--&#3588;&#3656;&#3634;&#3595;&#3656;&#3629;&#3617;&#3610;&#3635;&#3619;&#3640;&#3591;&#3619;&#3632;&#3610;&#3610;%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10--&#3588;&#3656;&#3634;&#3595;&#3656;&#3629;&#3617;&#3610;&#3635;&#3619;&#3640;&#3591;&#3619;&#3632;&#3610;&#3610;%20&#3611;&#3637;70.xlsx" TargetMode="External"/><Relationship Id="rId1" Type="http://schemas.openxmlformats.org/officeDocument/2006/relationships/externalLinkPath" Target="/personal/panorp_bot_or_th/Documents/&#3613;&#3619;&#3616;/7%20&#3591;&#3611;&#3617;/&#3611;&#3637;%2069/5%20&#3591;&#3610;&#3611;&#3637;%2070/working%20&#3591;&#3610;&#3611;&#3637;70-ePB/A10--&#3588;&#3656;&#3634;&#3595;&#3656;&#3629;&#3617;&#3610;&#3635;&#3619;&#3640;&#3591;&#3619;&#3632;&#3610;&#3610;%20&#3611;&#3637;70.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8--&#3588;&#3656;&#3634;&#3595;&#3656;&#3629;&#3617;&#3610;&#3635;&#3619;&#3640;&#3591;&#3619;&#3632;&#3610;&#3610;%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8--&#3588;&#3656;&#3634;&#3595;&#3656;&#3629;&#3617;&#3610;&#3635;&#3619;&#3640;&#3591;&#3619;&#3632;&#3610;&#3610;%20&#3611;&#3637;70.xlsx" TargetMode="External"/><Relationship Id="rId1" Type="http://schemas.openxmlformats.org/officeDocument/2006/relationships/externalLinkPath" Target="/personal/panorp_bot_or_th/Documents/&#3613;&#3619;&#3616;/7%20&#3591;&#3611;&#3617;/&#3611;&#3637;%2069/5%20&#3591;&#3610;&#3611;&#3637;%2070/working%20&#3591;&#3610;&#3611;&#3637;70-ePB/A8--&#3588;&#3656;&#3634;&#3595;&#3656;&#3629;&#3617;&#3610;&#3635;&#3619;&#3640;&#3591;&#3619;&#3632;&#3610;&#3610;%20&#3611;&#3637;70.xlsx" TargetMode="External"/></Relationships>
</file>

<file path=xl/externalLinks/_rels/externalLink14.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11--&#3623;&#3633;&#3626;&#3604;&#3640;&#3588;&#3629;&#3617;&#3614;&#3636;&#3623;&#3648;&#3605;&#3629;&#3619;&#3660;%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11--&#3623;&#3633;&#3626;&#3604;&#3640;&#3588;&#3629;&#3617;&#3614;&#3636;&#3623;&#3648;&#3605;&#3629;&#3619;&#3660;%20&#3611;&#3637;70.xlsx" TargetMode="External"/><Relationship Id="rId1" Type="http://schemas.openxmlformats.org/officeDocument/2006/relationships/externalLinkPath" Target="/personal/panorp_bot_or_th/Documents/&#3613;&#3619;&#3616;/7%20&#3591;&#3611;&#3617;/&#3611;&#3637;%2069/5%20&#3591;&#3610;&#3611;&#3637;%2070/working%20&#3591;&#3610;&#3611;&#3637;70-ePB/A11--&#3623;&#3633;&#3626;&#3604;&#3640;&#3588;&#3629;&#3617;&#3614;&#3636;&#3623;&#3648;&#3605;&#3629;&#3619;&#3660;%20&#3611;&#3637;70.xlsx" TargetMode="External"/></Relationships>
</file>

<file path=xl/externalLinks/_rels/externalLink15.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10--&#3588;&#3656;&#3634;&#3623;&#3633;&#3626;&#3604;&#3640;&#3607;&#3633;&#3656;&#3623;&#3652;&#3611;%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10--&#3588;&#3656;&#3634;&#3623;&#3633;&#3626;&#3604;&#3640;&#3607;&#3633;&#3656;&#3623;&#3652;&#3611;%20&#3611;&#3637;70.xlsx" TargetMode="External"/><Relationship Id="rId1" Type="http://schemas.openxmlformats.org/officeDocument/2006/relationships/externalLinkPath" Target="/personal/panorp_bot_or_th/Documents/&#3613;&#3619;&#3616;/7%20&#3591;&#3611;&#3617;/&#3611;&#3637;%2069/5%20&#3591;&#3610;&#3611;&#3637;%2070/working%20&#3591;&#3610;&#3611;&#3637;70-ePB/A10--&#3588;&#3656;&#3634;&#3623;&#3633;&#3626;&#3604;&#3640;&#3607;&#3633;&#3656;&#3623;&#3652;&#3611;%20&#3611;&#3637;70.xlsx" TargetMode="External"/></Relationships>
</file>

<file path=xl/externalLinks/_rels/externalLink16.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13--&#3588;&#3656;&#3634;&#3651;&#3594;&#3657;&#3592;&#3656;&#3634;&#3618;&#3651;&#3609;&#3585;&#3634;&#3619;&#3592;&#3633;&#3604;&#3591;&#3634;&#3609;&#3631;%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13--&#3588;&#3656;&#3634;&#3651;&#3594;&#3657;&#3592;&#3656;&#3634;&#3618;&#3651;&#3609;&#3585;&#3634;&#3619;&#3592;&#3633;&#3604;&#3591;&#3634;&#3609;&#3631;%20&#3611;&#3637;70.xlsx" TargetMode="External"/><Relationship Id="rId1" Type="http://schemas.openxmlformats.org/officeDocument/2006/relationships/externalLinkPath" Target="/personal/panorp_bot_or_th/Documents/&#3613;&#3619;&#3616;/7%20&#3591;&#3611;&#3617;/&#3611;&#3637;%2069/5%20&#3591;&#3610;&#3611;&#3637;%2070/working%20&#3591;&#3610;&#3611;&#3637;70-ePB/A13--&#3588;&#3656;&#3634;&#3651;&#3594;&#3657;&#3592;&#3656;&#3634;&#3618;&#3651;&#3609;&#3585;&#3634;&#3619;&#3592;&#3633;&#3604;&#3591;&#3634;&#3609;&#3631;%20&#3611;&#3637;70.xlsx" TargetMode="External"/></Relationships>
</file>

<file path=xl/externalLinks/_rels/externalLink17.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14--&#3588;&#3656;&#3634;&#3619;&#3633;&#3610;&#3619;&#3629;&#3591;%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14--&#3588;&#3656;&#3634;&#3619;&#3633;&#3610;&#3619;&#3629;&#3591;%20&#3611;&#3637;70.xlsx" TargetMode="External"/><Relationship Id="rId1" Type="http://schemas.openxmlformats.org/officeDocument/2006/relationships/externalLinkPath" Target="/personal/panorp_bot_or_th/Documents/&#3613;&#3619;&#3616;/7%20&#3591;&#3611;&#3617;/&#3611;&#3637;%2069/5%20&#3591;&#3610;&#3611;&#3637;%2070/working%20&#3591;&#3610;&#3611;&#3637;70-ePB/A14--&#3588;&#3656;&#3634;&#3619;&#3633;&#3610;&#3619;&#3629;&#3591;%20&#3611;&#3637;70.xlsx" TargetMode="External"/></Relationships>
</file>

<file path=xl/externalLinks/_rels/externalLink18.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13--&#3588;&#3594;&#3592;%20&#3648;&#3604;&#3636;&#3609;&#3607;&#3634;&#3591;&#3651;&#3609;&#3611;&#3619;&#3632;&#3648;&#3607;&#3624;%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13--&#3588;&#3594;&#3592;%20&#3648;&#3604;&#3636;&#3609;&#3607;&#3634;&#3591;&#3651;&#3609;&#3611;&#3619;&#3632;&#3648;&#3607;&#3624;%20&#3611;&#3637;70.xlsx" TargetMode="External"/><Relationship Id="rId1" Type="http://schemas.openxmlformats.org/officeDocument/2006/relationships/externalLinkPath" Target="/personal/panorp_bot_or_th/Documents/&#3613;&#3619;&#3616;/7%20&#3591;&#3611;&#3617;/&#3611;&#3637;%2069/5%20&#3591;&#3610;&#3611;&#3637;%2070/working%20&#3591;&#3610;&#3611;&#3637;70-ePB/A13--&#3588;&#3594;&#3592;%20&#3648;&#3604;&#3636;&#3609;&#3607;&#3634;&#3591;&#3651;&#3609;&#3611;&#3619;&#3632;&#3648;&#3607;&#3624;%20&#3611;&#3637;70.xlsx" TargetMode="External"/></Relationships>
</file>

<file path=xl/externalLinks/_rels/externalLink19.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16--&#3588;&#3656;&#3634;&#3608;&#3619;&#3619;&#3617;&#3648;&#3609;&#3637;&#3618;&#3617;&#3629;&#3639;&#3656;&#3609;%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16--&#3588;&#3656;&#3634;&#3608;&#3619;&#3619;&#3617;&#3648;&#3609;&#3637;&#3618;&#3617;&#3629;&#3639;&#3656;&#3609;%20&#3611;&#3637;70.xlsx" TargetMode="External"/><Relationship Id="rId1" Type="http://schemas.openxmlformats.org/officeDocument/2006/relationships/externalLinkPath" Target="/personal/panorp_bot_or_th/Documents/&#3613;&#3619;&#3616;/7%20&#3591;&#3611;&#3617;/&#3611;&#3637;%2069/5%20&#3591;&#3610;&#3611;&#3637;%2070/working%20&#3591;&#3610;&#3611;&#3637;70-ePB/A16--&#3588;&#3656;&#3634;&#3608;&#3619;&#3619;&#3617;&#3648;&#3609;&#3637;&#3618;&#3617;&#3629;&#3639;&#3656;&#3609;%20&#3611;&#3637;70.xlsx" TargetMode="External"/></Relationships>
</file>

<file path=xl/externalLinks/_rels/externalLink20.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15-1--&#3650;&#3611;&#3619;&#3649;&#3585;&#3619;&#3617;%20&#3613;&#3607;&#3626;%20&#3626;&#3656;&#3623;&#3609;&#3591;&#3634;&#3609;%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15-1--&#3650;&#3611;&#3619;&#3649;&#3585;&#3619;&#3617;%20&#3613;&#3607;&#3626;%20&#3626;&#3656;&#3623;&#3609;&#3591;&#3634;&#3609;%20&#3611;&#3637;70.xlsx" TargetMode="External"/><Relationship Id="rId1" Type="http://schemas.openxmlformats.org/officeDocument/2006/relationships/externalLinkPath" Target="/personal/panorp_bot_or_th/Documents/&#3613;&#3619;&#3616;/7%20&#3591;&#3611;&#3617;/&#3611;&#3637;%2069/5%20&#3591;&#3610;&#3611;&#3637;%2070/working%20&#3591;&#3610;&#3611;&#3637;70-ePB/A15-1--&#3650;&#3611;&#3619;&#3649;&#3585;&#3619;&#3617;%20&#3613;&#3607;&#3626;%20&#3626;&#3656;&#3623;&#3609;&#3591;&#3634;&#3609;%20&#3611;&#3637;70.xlsx" TargetMode="External"/></Relationships>
</file>

<file path=xl/externalLinks/_rels/externalLink21.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15-2--&#3650;&#3611;&#3619;&#3649;&#3585;&#3619;&#3617;%20&#3613;&#3607;&#3626;%20&#3626;&#3656;&#3623;&#3609;&#3585;&#3621;&#3634;&#3591;%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15-2--&#3650;&#3611;&#3619;&#3649;&#3585;&#3619;&#3617;%20&#3613;&#3607;&#3626;%20&#3626;&#3656;&#3623;&#3609;&#3585;&#3621;&#3634;&#3591;%20&#3611;&#3637;70.xlsx" TargetMode="External"/><Relationship Id="rId1" Type="http://schemas.openxmlformats.org/officeDocument/2006/relationships/externalLinkPath" Target="/personal/panorp_bot_or_th/Documents/&#3613;&#3619;&#3616;/7%20&#3591;&#3611;&#3617;/&#3611;&#3637;%2069/5%20&#3591;&#3610;&#3611;&#3637;%2070/working%20&#3591;&#3610;&#3611;&#3637;70-ePB/A15-2--&#3650;&#3611;&#3619;&#3649;&#3585;&#3619;&#3617;%20&#3613;&#3607;&#3626;%20&#3626;&#3656;&#3623;&#3609;&#3585;&#3621;&#3634;&#3591;%20&#3611;&#3637;70.xlsx" TargetMode="External"/></Relationships>
</file>

<file path=xl/externalLinks/_rels/externalLink22.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19--&#3588;&#3594;&#3592;%20&#3626;&#3639;&#3610;&#3626;&#3623;&#3609;%20&#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19--&#3588;&#3594;&#3592;%20&#3626;&#3639;&#3610;&#3626;&#3623;&#3609;%20&#3611;&#3637;70.xlsx" TargetMode="External"/><Relationship Id="rId1" Type="http://schemas.openxmlformats.org/officeDocument/2006/relationships/externalLinkPath" Target="/personal/panorp_bot_or_th/Documents/&#3613;&#3619;&#3616;/7%20&#3591;&#3611;&#3617;/&#3611;&#3637;%2069/5%20&#3591;&#3610;&#3611;&#3637;%2070/working%20&#3591;&#3610;&#3611;&#3637;70-ePB/A19--&#3588;&#3594;&#3592;%20&#3626;&#3639;&#3610;&#3626;&#3623;&#3609;%20&#3611;&#3637;70.xlsx" TargetMode="External"/></Relationships>
</file>

<file path=xl/externalLinks/_rels/externalLink23.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3619;&#3623;&#3617;&#3588;&#3635;&#3586;&#3629;&#3591;&#3610;&#3611;&#3637;%2070/&#3624;&#3611;&#3616;27&#3585;&#3588;69--&#3619;&#3623;&#3617;%20&#3649;&#3610;&#3610;&#3626;&#3635;&#3619;&#3623;&#3592;&#3629;&#3640;&#3611;&#3585;&#3619;&#3603;&#3660;&#3594;&#3656;&#3623;&#3618;&#3591;&#3634;&#3609;&#3619;&#3633;&#3585;&#3625;&#3634;&#3588;&#3623;&#3634;&#3617;&#3611;&#3621;&#3629;&#3604;&#3616;&#3633;_Jul27%201.xlsx" TargetMode="External"/><Relationship Id="rId2" Type="http://schemas.openxmlformats.org/officeDocument/2006/relationships/externalLinkPath" Target="https://bankofthailand-my.sharepoint.com/personal/panorp_bot_or_th/Documents/&#3613;&#3619;&#3616;/7%20&#3591;&#3611;&#3617;/&#3611;&#3637;%2069/5%20&#3591;&#3610;&#3611;&#3637;%2070/&#3619;&#3623;&#3617;&#3588;&#3635;&#3586;&#3629;&#3591;&#3610;&#3611;&#3637;%2070/&#3624;&#3611;&#3616;27&#3585;&#3588;69--&#3619;&#3623;&#3617;%20&#3649;&#3610;&#3610;&#3626;&#3635;&#3619;&#3623;&#3592;&#3629;&#3640;&#3611;&#3585;&#3619;&#3603;&#3660;&#3594;&#3656;&#3623;&#3618;&#3591;&#3634;&#3609;&#3619;&#3633;&#3585;&#3625;&#3634;&#3588;&#3623;&#3634;&#3617;&#3611;&#3621;&#3629;&#3604;&#3616;&#3633;_Jul27%201.xlsx" TargetMode="External"/><Relationship Id="rId1" Type="http://schemas.openxmlformats.org/officeDocument/2006/relationships/externalLinkPath" Target="/personal/panorp_bot_or_th/Documents/&#3613;&#3619;&#3616;/7%20&#3591;&#3611;&#3617;/&#3611;&#3637;%2069/5%20&#3591;&#3610;&#3611;&#3637;%2070/&#3619;&#3623;&#3617;&#3588;&#3635;&#3586;&#3629;&#3591;&#3610;&#3611;&#3637;%2070/&#3624;&#3611;&#3616;27&#3585;&#3588;69--&#3619;&#3623;&#3617;%20&#3649;&#3610;&#3610;&#3626;&#3635;&#3619;&#3623;&#3592;&#3629;&#3640;&#3611;&#3585;&#3619;&#3603;&#3660;&#3594;&#3656;&#3623;&#3618;&#3591;&#3634;&#3609;&#3619;&#3633;&#3585;&#3625;&#3634;&#3588;&#3623;&#3634;&#3617;&#3611;&#3621;&#3629;&#3604;&#3616;&#3633;_Jul27%201.xlsx" TargetMode="External"/></Relationships>
</file>

<file path=xl/externalLinks/_rels/externalLink24.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1%20&#3613;&#3623;&#3612;%20&#3594;&#3637;&#3657;&#3649;&#3592;&#3591;/3.2%20&#3619;&#3634;&#3588;&#3634;&#3617;&#3634;&#3605;&#3619;&#3600;&#3634;&#3609;&#3588;&#3619;&#3640;&#3616;&#3633;&#3603;&#3601;&#3660;_2570.XLSX" TargetMode="External"/><Relationship Id="rId2" Type="http://schemas.openxmlformats.org/officeDocument/2006/relationships/externalLinkPath" Target="https://bankofthailand-my.sharepoint.com/personal/panorp_bot_or_th/Documents/&#3613;&#3619;&#3616;/7%20&#3591;&#3611;&#3617;/&#3611;&#3637;%2069/5%20&#3591;&#3610;&#3611;&#3637;%2070/1%20&#3613;&#3623;&#3612;%20&#3594;&#3637;&#3657;&#3649;&#3592;&#3591;/3.2%20&#3619;&#3634;&#3588;&#3634;&#3617;&#3634;&#3605;&#3619;&#3600;&#3634;&#3609;&#3588;&#3619;&#3640;&#3616;&#3633;&#3603;&#3601;&#3660;_2570.XLSX" TargetMode="External"/><Relationship Id="rId1" Type="http://schemas.openxmlformats.org/officeDocument/2006/relationships/externalLinkPath" Target="/personal/panorp_bot_or_th/Documents/&#3613;&#3619;&#3616;/7%20&#3591;&#3611;&#3617;/&#3611;&#3637;%2069/5%20&#3591;&#3610;&#3611;&#3637;%2070/1%20&#3613;&#3623;&#3612;%20&#3594;&#3637;&#3657;&#3649;&#3592;&#3591;/3.2%20&#3619;&#3634;&#3588;&#3634;&#3617;&#3634;&#3605;&#3619;&#3600;&#3634;&#3609;&#3588;&#3619;&#3640;&#3616;&#3633;&#3603;&#3601;&#3660;_2570.XLSX" TargetMode="External"/></Relationships>
</file>

<file path=xl/externalLinks/_rels/externalLink25.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7-2-&#3626;&#3619;&#3640;&#3611;&#3588;&#3656;&#3634;&#3592;&#3657;&#3634;OS-&#3611;&#3637;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7-2-&#3626;&#3619;&#3640;&#3611;&#3588;&#3656;&#3634;&#3592;&#3657;&#3634;OS-&#3611;&#3637;70.xlsx" TargetMode="External"/><Relationship Id="rId1" Type="http://schemas.openxmlformats.org/officeDocument/2006/relationships/externalLinkPath" Target="/personal/panorp_bot_or_th/Documents/&#3613;&#3619;&#3616;/7%20&#3591;&#3611;&#3617;/&#3611;&#3637;%2069/5%20&#3591;&#3610;&#3611;&#3637;%2070/working%20&#3591;&#3610;&#3611;&#3637;70-ePB/A7-2-&#3626;&#3619;&#3640;&#3611;&#3588;&#3656;&#3634;&#3592;&#3657;&#3634;OS-&#3611;&#3637;70.xlsx" TargetMode="External"/></Relationships>
</file>

<file path=xl/externalLinks/_rels/externalLink26.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591;&#3610;&#3611;&#3637;%2070/working%20&#3591;&#3610;&#3611;&#3637;70-ePB/A6---&#3588;&#3656;&#3634;&#3613;&#3638;&#3585;&#3629;&#3610;&#3619;&#3617;%20&#3611;&#3637;%202570.xlsx" TargetMode="External"/><Relationship Id="rId2" Type="http://schemas.openxmlformats.org/officeDocument/2006/relationships/externalLinkPath" Target="https://bankofthailand-my.sharepoint.com/personal/panorp_bot_or_th/Documents/&#3613;&#3619;&#3616;/7%20&#3591;&#3611;&#3617;/&#3611;&#3637;%2069/5%20&#3591;&#3610;&#3611;&#3637;%2070/working%20&#3591;&#3610;&#3611;&#3637;70-ePB/A6---&#3588;&#3656;&#3634;&#3613;&#3638;&#3585;&#3629;&#3610;&#3619;&#3617;%20&#3611;&#3637;%202570.xlsx" TargetMode="External"/><Relationship Id="rId1" Type="http://schemas.openxmlformats.org/officeDocument/2006/relationships/externalLinkPath" Target="/personal/panorp_bot_or_th/Documents/&#3613;&#3619;&#3616;/7%20&#3591;&#3611;&#3617;/&#3611;&#3637;%2069/5%20&#3591;&#3610;&#3611;&#3637;%2070/working%20&#3591;&#3610;&#3611;&#3637;70-ePB/A6---&#3588;&#3656;&#3634;&#3613;&#3638;&#3585;&#3629;&#3610;&#3619;&#3617;%20&#3611;&#3637;%202570.xlsx" TargetMode="External"/></Relationships>
</file>

<file path=xl/externalLinks/_rels/externalLink27.xml.rels><?xml version="1.0" encoding="UTF-8" standalone="yes"?>
<Relationships xmlns="http://schemas.openxmlformats.org/package/2006/relationships"><Relationship Id="rId3" Type="http://schemas.openxmlformats.org/officeDocument/2006/relationships/externalLinkPath" Target="../../../../../../../panorp_bot_or_th/Documents/&#3613;&#3619;&#3616;/7%20&#3591;&#3611;&#3617;/&#3611;&#3637;%2069/5%20&#3626;&#3619;&#3640;&#3611;&#3585;&#3634;&#3619;&#3651;&#3594;&#3657;&#3591;&#3610;&#3619;&#3634;&#3618;&#3648;&#3604;&#3639;&#3629;&#3609;/n&#3626;&#3619;&#3640;&#3611;&#3585;&#3634;&#3619;&#3651;&#3594;&#3657;&#3591;&#3610;%20&#3613;&#3619;&#3616;.%2031&#3585;&#3588;69.xlsx" TargetMode="External"/><Relationship Id="rId2" Type="http://schemas.openxmlformats.org/officeDocument/2006/relationships/externalLinkPath" Target="https://bankofthailand-my.sharepoint.com/personal/panorp_bot_or_th/Documents/&#3613;&#3619;&#3616;/7%20&#3591;&#3611;&#3617;/&#3611;&#3637;%2069/5%20&#3626;&#3619;&#3640;&#3611;&#3585;&#3634;&#3619;&#3651;&#3594;&#3657;&#3591;&#3610;&#3619;&#3634;&#3618;&#3648;&#3604;&#3639;&#3629;&#3609;/n&#3626;&#3619;&#3640;&#3611;&#3585;&#3634;&#3619;&#3651;&#3594;&#3657;&#3591;&#3610;%20&#3613;&#3619;&#3616;.%2031&#3585;&#3588;69.xlsx" TargetMode="External"/><Relationship Id="rId1" Type="http://schemas.openxmlformats.org/officeDocument/2006/relationships/externalLinkPath" Target="/personal/panorp_bot_or_th/Documents/&#3613;&#3619;&#3616;/7%20&#3591;&#3611;&#3617;/&#3611;&#3637;%2069/5%20&#3626;&#3619;&#3640;&#3611;&#3585;&#3634;&#3619;&#3651;&#3594;&#3657;&#3591;&#3610;&#3619;&#3634;&#3618;&#3648;&#3604;&#3639;&#3629;&#3609;/n&#3626;&#3619;&#3640;&#3611;&#3585;&#3634;&#3619;&#3651;&#3594;&#3657;&#3591;&#3610;%20&#3613;&#3619;&#3616;.%2031&#3585;&#3588;6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คำขอ2570"/>
      <sheetName val="ศปภ.ข้อ2"/>
      <sheetName val="คำนวณรายทีม"/>
      <sheetName val="อัตรา OT"/>
      <sheetName val="2569"/>
      <sheetName val="2568"/>
      <sheetName val="Chart"/>
    </sheetNames>
    <sheetDataSet>
      <sheetData sheetId="0">
        <row r="8">
          <cell r="F8">
            <v>890000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570new"/>
      <sheetName val="2570 (เดิม)"/>
      <sheetName val="2569"/>
      <sheetName val="2568"/>
      <sheetName val="2567"/>
      <sheetName val="  2566"/>
      <sheetName val="2565"/>
      <sheetName val="สรุปสถิติเงินช่วยเหลือพิเศษ"/>
    </sheetNames>
    <sheetDataSet>
      <sheetData sheetId="0" refreshError="1">
        <row r="21">
          <cell r="D21">
            <v>6200000</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1. ต่างสำนักงาน  Rate ปี 70"/>
      <sheetName val="1. ต่างสำนักงาน  Rate ปี 70 (2)"/>
      <sheetName val="1. ต่างสำนักงาน  Rate ปี 69"/>
      <sheetName val="1. ต่างสำนักงาน  Rate ปี 69 (2)"/>
      <sheetName val="ปี 68"/>
      <sheetName val="H167"/>
      <sheetName val="SAP66"/>
      <sheetName val="SAP65"/>
      <sheetName val="2567"/>
      <sheetName val="2566"/>
      <sheetName val="2565"/>
      <sheetName val="2564"/>
      <sheetName val="2563"/>
      <sheetName val="2562"/>
      <sheetName val="2561"/>
    </sheetNames>
    <sheetDataSet>
      <sheetData sheetId="0" refreshError="1">
        <row r="20">
          <cell r="F20">
            <v>4380000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ค่าเช่าชุดสูท 70"/>
      <sheetName val="ฝรภ.สภน."/>
      <sheetName val="ฝรภ.สภอ."/>
      <sheetName val="ฝรภ.สภต."/>
    </sheetNames>
    <sheetDataSet>
      <sheetData sheetId="0">
        <row r="9">
          <cell r="E9">
            <v>50000</v>
          </cell>
        </row>
      </sheetData>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570"/>
      <sheetName val="2569"/>
      <sheetName val="2568 "/>
      <sheetName val="2567"/>
      <sheetName val="2566"/>
      <sheetName val="2565"/>
      <sheetName val="2564"/>
      <sheetName val="2563"/>
      <sheetName val="2562"/>
    </sheetNames>
    <sheetDataSet>
      <sheetData sheetId="0">
        <row r="13">
          <cell r="H13">
            <v>145000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570"/>
      <sheetName val="2569"/>
      <sheetName val="2568 "/>
      <sheetName val="2567"/>
      <sheetName val="2566"/>
      <sheetName val="2565"/>
      <sheetName val="2564"/>
      <sheetName val="2563"/>
      <sheetName val="2562"/>
    </sheetNames>
    <sheetDataSet>
      <sheetData sheetId="0">
        <row r="14">
          <cell r="H14">
            <v>675000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สรุปค่าจ้าง-ใช้งาน"/>
      <sheetName val="สรุปผลประเมิน-ใช้งาน"/>
      <sheetName val="ดำเนินการตามสัญญา"/>
      <sheetName val="ค่าจ้าง 5 กลุ่ม"/>
      <sheetName val="กลุ่ม 1"/>
      <sheetName val="กลุ่ม2"/>
      <sheetName val="กลุ่ม3"/>
      <sheetName val="กลุ่ม4"/>
      <sheetName val="กลุ่ม5"/>
      <sheetName val="ที่มางบค่าจ้าง"/>
    </sheetNames>
    <sheetDataSet>
      <sheetData sheetId="0" refreshError="1"/>
      <sheetData sheetId="1" refreshError="1"/>
      <sheetData sheetId="2" refreshError="1"/>
      <sheetData sheetId="3" refreshError="1"/>
      <sheetData sheetId="4">
        <row r="25">
          <cell r="H25">
            <v>13844752.41</v>
          </cell>
        </row>
        <row r="28">
          <cell r="A28">
            <v>25574826.443333335</v>
          </cell>
        </row>
      </sheetData>
      <sheetData sheetId="5">
        <row r="43">
          <cell r="H43">
            <v>3041731.2800000003</v>
          </cell>
        </row>
      </sheetData>
      <sheetData sheetId="6">
        <row r="43">
          <cell r="H43">
            <v>2216137.4</v>
          </cell>
        </row>
      </sheetData>
      <sheetData sheetId="7">
        <row r="43">
          <cell r="H43">
            <v>3452552.16</v>
          </cell>
        </row>
      </sheetData>
      <sheetData sheetId="8">
        <row r="53">
          <cell r="H53">
            <v>3019653.1933333334</v>
          </cell>
        </row>
      </sheetData>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ropDown"/>
      <sheetName val="Template OS-2570 "/>
      <sheetName val="คำอธิบาย-template  "/>
      <sheetName val="ภาระผูกพัน"/>
      <sheetName val="งบ69ธปท.อนุมัติ"/>
      <sheetName val="ปี 68"/>
      <sheetName val="ก1-69"/>
      <sheetName val="ก1OT69 ใช้ ก5บางส่วน"/>
      <sheetName val="ก1-ผูกพัน"/>
      <sheetName val="ก1สัญญาใหม่"/>
      <sheetName val="ก2-69"/>
      <sheetName val="ก2-ผูกพัน"/>
      <sheetName val="ก3-69"/>
      <sheetName val="ก3-ผูกพัน"/>
      <sheetName val="ก3-1ปี10ด"/>
      <sheetName val="ก4-69"/>
      <sheetName val="ก4-ผูกพัน"/>
      <sheetName val="ก5-69"/>
      <sheetName val="ก5-งบผูกพัน"/>
      <sheetName val="ก5-กำลังจัดซื้อ"/>
      <sheetName val="ก5-กำลังจัดซื้อ_check"/>
      <sheetName val="ก5-งบผูกพัน "/>
    </sheetNames>
    <sheetDataSet>
      <sheetData sheetId="0" refreshError="1"/>
      <sheetData sheetId="1" refreshError="1">
        <row r="10">
          <cell r="AU10">
            <v>8000000</v>
          </cell>
        </row>
        <row r="11">
          <cell r="AU11">
            <v>776000</v>
          </cell>
        </row>
        <row r="12">
          <cell r="AU12">
            <v>21521600</v>
          </cell>
          <cell r="AX12">
            <v>32446300</v>
          </cell>
          <cell r="BA12">
            <v>32895600</v>
          </cell>
          <cell r="BD12">
            <v>11137600</v>
          </cell>
        </row>
        <row r="14">
          <cell r="AU14">
            <v>5243500</v>
          </cell>
          <cell r="AX14">
            <v>4373000</v>
          </cell>
        </row>
        <row r="18">
          <cell r="AU18">
            <v>5458400</v>
          </cell>
          <cell r="AX18">
            <v>4688000</v>
          </cell>
        </row>
        <row r="20">
          <cell r="AU20">
            <v>5949500</v>
          </cell>
          <cell r="AX20">
            <v>4961200</v>
          </cell>
        </row>
        <row r="24">
          <cell r="AU24">
            <v>12931600</v>
          </cell>
          <cell r="AX24">
            <v>10781800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สรุปค่าจ้าง-ใช้งาน"/>
      <sheetName val="สรุปผลประเมิน-ใช้งาน"/>
      <sheetName val="ดำเนินการตามสัญญา"/>
      <sheetName val="ค่าจ้าง 5 กลุ่ม"/>
      <sheetName val="กลุ่ม 1"/>
      <sheetName val="กลุ่ม2"/>
      <sheetName val="กลุ่ม3"/>
      <sheetName val="กลุ่ม4"/>
      <sheetName val="กลุ่ม5"/>
      <sheetName val="ที่มางบค่าจ้าง"/>
      <sheetName val="งบที่ ธปท อนุมัติ"/>
    </sheetNames>
    <sheetDataSet>
      <sheetData sheetId="0" refreshError="1"/>
      <sheetData sheetId="1" refreshError="1"/>
      <sheetData sheetId="2" refreshError="1"/>
      <sheetData sheetId="3" refreshError="1"/>
      <sheetData sheetId="4" refreshError="1"/>
      <sheetData sheetId="5" refreshError="1"/>
      <sheetData sheetId="6">
        <row r="43">
          <cell r="H43">
            <v>1942537.4</v>
          </cell>
        </row>
      </sheetData>
      <sheetData sheetId="7">
        <row r="43">
          <cell r="H43">
            <v>3452552.16</v>
          </cell>
        </row>
      </sheetData>
      <sheetData sheetId="8">
        <row r="53">
          <cell r="H53">
            <v>3708698.2633333337</v>
          </cell>
        </row>
      </sheetData>
      <sheetData sheetId="9" refreshError="1"/>
      <sheetData sheetId="1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570"/>
      <sheetName val="2569"/>
      <sheetName val="2568"/>
      <sheetName val="2567"/>
      <sheetName val="2566"/>
      <sheetName val="2565"/>
      <sheetName val="2564"/>
      <sheetName val="2563"/>
      <sheetName val="2562"/>
      <sheetName val="2561"/>
      <sheetName val="2560"/>
    </sheetNames>
    <sheetDataSet>
      <sheetData sheetId="0">
        <row r="22">
          <cell r="C22">
            <v>35000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ค่าตอบแทน 2569"/>
      <sheetName val="2570"/>
      <sheetName val="ค่าตอบแทน 2569_แมน"/>
      <sheetName val="2568"/>
      <sheetName val="ค่าตอบแทน 2567"/>
      <sheetName val="2566"/>
      <sheetName val="2565"/>
      <sheetName val="2564"/>
      <sheetName val="2563"/>
      <sheetName val="2562"/>
      <sheetName val="2561"/>
      <sheetName val="2560"/>
      <sheetName val="2559"/>
      <sheetName val="คำสั่ง ฝรภ.36-2556"/>
      <sheetName val="ค่าจ้าง ตำรวจ สภต"/>
      <sheetName val="สถิติค่าตอบแทน"/>
    </sheetNames>
    <sheetDataSet>
      <sheetData sheetId="0" refreshError="1"/>
      <sheetData sheetId="1">
        <row r="38">
          <cell r="T38">
            <v>4341900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ew 2570"/>
      <sheetName val="70 ข้อมูลจาก ฝจอ"/>
      <sheetName val="2570"/>
      <sheetName val="ใหม่ 2569"/>
      <sheetName val="เก่า 69"/>
      <sheetName val="2568"/>
    </sheetNames>
    <sheetDataSet>
      <sheetData sheetId="0">
        <row r="7">
          <cell r="E7">
            <v>1844150</v>
          </cell>
        </row>
        <row r="11">
          <cell r="E11">
            <v>133014.375</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ew 2570"/>
      <sheetName val="70 ข้อมูลจาก ฝจอ"/>
      <sheetName val="2570"/>
      <sheetName val="ใหม่ 2569"/>
      <sheetName val="เก่า 69"/>
      <sheetName val="2568"/>
    </sheetNames>
    <sheetDataSet>
      <sheetData sheetId="0">
        <row r="7">
          <cell r="F7">
            <v>1425250</v>
          </cell>
          <cell r="G7">
            <v>712625</v>
          </cell>
        </row>
        <row r="11">
          <cell r="F11">
            <v>106411.5</v>
          </cell>
          <cell r="G11">
            <v>26602.875</v>
          </cell>
        </row>
        <row r="15">
          <cell r="E15">
            <v>0</v>
          </cell>
        </row>
      </sheetData>
      <sheetData sheetId="1" refreshError="1"/>
      <sheetData sheetId="2" refreshError="1"/>
      <sheetData sheetId="3" refreshError="1"/>
      <sheetData sheetId="4" refreshError="1"/>
      <sheetData sheetId="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570"/>
      <sheetName val="2569"/>
      <sheetName val="2568"/>
      <sheetName val="2567"/>
      <sheetName val="2566"/>
    </sheetNames>
    <sheetDataSet>
      <sheetData sheetId="0">
        <row r="16">
          <cell r="F16">
            <v>195000</v>
          </cell>
        </row>
      </sheetData>
      <sheetData sheetId="1" refreshError="1"/>
      <sheetData sheetId="2" refreshError="1"/>
      <sheetData sheetId="3" refreshError="1"/>
      <sheetData sheetId="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570"/>
      <sheetName val="2569ห้องบัตร"/>
      <sheetName val="2569อื่น"/>
    </sheetNames>
    <sheetDataSet>
      <sheetData sheetId="0">
        <row r="8">
          <cell r="E8">
            <v>1580000</v>
          </cell>
        </row>
      </sheetData>
      <sheetData sheetId="1"/>
      <sheetData sheetId="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570"/>
      <sheetName val="2569"/>
      <sheetName val="2568"/>
      <sheetName val=" 2567 "/>
      <sheetName val="2566"/>
      <sheetName val="2565"/>
      <sheetName val="2564"/>
      <sheetName val="2563"/>
      <sheetName val="2562"/>
      <sheetName val="2561"/>
      <sheetName val="2560"/>
      <sheetName val="2559"/>
      <sheetName val="2558"/>
      <sheetName val="2554 - ครั้งที่ 1"/>
      <sheetName val="2555 - ครั้งที่ 2"/>
      <sheetName val="ค่าใช้จ่ายในการจัดเวที"/>
      <sheetName val="ผบ.สุวรรณ"/>
      <sheetName val="Sheet3"/>
    </sheetNames>
    <sheetDataSet>
      <sheetData sheetId="0">
        <row r="13">
          <cell r="D13">
            <v>150000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570"/>
      <sheetName val="2569"/>
      <sheetName val="2568"/>
      <sheetName val="13-ค่ารับรอง"/>
      <sheetName val="2567"/>
      <sheetName val="2566"/>
      <sheetName val="2565 "/>
      <sheetName val="2564"/>
      <sheetName val="2563"/>
      <sheetName val="2562"/>
      <sheetName val="2561"/>
      <sheetName val="13-ค่ารับรอง (2560)"/>
      <sheetName val="13-ค่ารับรอง (2559)"/>
      <sheetName val="สถิติค่ารับรอง"/>
    </sheetNames>
    <sheetDataSet>
      <sheetData sheetId="0">
        <row r="20">
          <cell r="C20">
            <v>80000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ค่าตั๋วเครื่องบิน"/>
      <sheetName val="รวม คชจ.ปี 70"/>
      <sheetName val="1ศปภ เยี่ยมครอบครัวปี70"/>
      <sheetName val="2ผบ.ศปภ+ศอก ไปภูมิภาคปี70"/>
      <sheetName val="3ศปภ โยกย้ายปี70"/>
      <sheetName val="4งสส ปี70"/>
      <sheetName val="5 ไม่ใช้ ผอ ตรวจเยี่ยมปี70"/>
      <sheetName val="รวม คชจ.ปี 69"/>
      <sheetName val="รวม คชจ.ปี 68"/>
      <sheetName val="1ศปภ เยี่ยมครอบครัวปี69"/>
      <sheetName val="2ผบ.ศปภ+ศอก ไปภูมิภาคปี69"/>
      <sheetName val="3ศปภ โยกย้ายปี69"/>
      <sheetName val="4งสส ปี69"/>
      <sheetName val="5 ไม่ใช้ ผอ ตรวจเยี่ยมปี69"/>
      <sheetName val="1ศปภ เยี่ยมครอบครัวปี68"/>
      <sheetName val="2ผบ.ศปภ+ศอก ไปภูมิภาคปี68"/>
      <sheetName val="3ศปภ โยกย้ายปี68"/>
      <sheetName val="4งสส ปี68"/>
      <sheetName val="5ผอ ตรวจเยี่ยมปี68"/>
      <sheetName val="1ศปภ เยี่ยมครอบครัวปี67"/>
      <sheetName val="2ผบ.ศปภ+ศอก ไปภูมิภาคปี67"/>
      <sheetName val="3ศปภ โยกย้ายปี67"/>
      <sheetName val="4งสส ปี67"/>
      <sheetName val="5ผอ ตรวจเยี่ยมปี67"/>
      <sheetName val="1ศปภ เยี่ยมครอบครัวปี 66"/>
      <sheetName val="2ผบ ศปภ+ศอก ไปภูมิภาคปี 66"/>
      <sheetName val="4งสส ปี 66"/>
      <sheetName val="6 ผอ ตรวจเยี่ยมุ66"/>
      <sheetName val="7 ศปภ โยกย้าย ปี 66"/>
      <sheetName val="รวม คชจ.ปี 66"/>
      <sheetName val=" รวม คชจ.ปี 65"/>
      <sheetName val="2 ศปภ เยี่ยมครอบครัว ปี 65"/>
      <sheetName val="3 งานขนส่งปี 66"/>
      <sheetName val="3 งานขนส่งปี 65"/>
      <sheetName val="4 ผช ผอ ไปภูมิภาค ปี 65"/>
      <sheetName val="5 ศสป ปี 65"/>
      <sheetName val="6 ผอ ตรวจเยี่ยมุ65"/>
      <sheetName val="7 ศปภ โยกย้าย ปี 65"/>
      <sheetName val="เดินทาง ตัดจ่าย H164"/>
    </sheetNames>
    <sheetDataSet>
      <sheetData sheetId="0" refreshError="1"/>
      <sheetData sheetId="1">
        <row r="23">
          <cell r="C23">
            <v>480000</v>
          </cell>
        </row>
        <row r="24">
          <cell r="C24">
            <v>500000</v>
          </cell>
        </row>
        <row r="25">
          <cell r="C25">
            <v>420000</v>
          </cell>
        </row>
        <row r="26">
          <cell r="C26">
            <v>150000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570"/>
      <sheetName val="2569"/>
      <sheetName val="2568"/>
      <sheetName val="2567"/>
      <sheetName val="2566"/>
      <sheetName val="2565"/>
      <sheetName val="2564"/>
      <sheetName val="2563"/>
      <sheetName val="2562"/>
      <sheetName val="2561"/>
      <sheetName val="12.ค่าธรรมเนียม (2560)"/>
      <sheetName val="สถิติ งปม ค่าธรรมเนียม"/>
    </sheetNames>
    <sheetDataSet>
      <sheetData sheetId="0">
        <row r="28">
          <cell r="D28">
            <v>40000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รายการใกล้ครบสัญญา"/>
      <sheetName val="Instruction"/>
      <sheetName val="ค่าสิทธิการใช้โปรแกรม ปี 70"/>
      <sheetName val="ค่าสิทธิการใช้โปรแกรม ปี 67 ฝทส"/>
      <sheetName val=" ปี 68 )"/>
      <sheetName val="โปรแกรม &amp; Token ปี 70"/>
      <sheetName val="ปี 69"/>
      <sheetName val="วิธีการและเวลาที่ใช้จัดหา"/>
      <sheetName val="2022 Renewal งาน ค่าสิทธิ์ "/>
      <sheetName val="Simcorp"/>
      <sheetName val="ฝ่าย_fundcenter"/>
    </sheetNames>
    <sheetDataSet>
      <sheetData sheetId="0" refreshError="1"/>
      <sheetData sheetId="1" refreshError="1"/>
      <sheetData sheetId="2">
        <row r="202">
          <cell r="H202">
            <v>8800</v>
          </cell>
          <cell r="I202">
            <v>8800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รายการใกล้ครบสัญญา"/>
      <sheetName val="Instruction"/>
      <sheetName val="ค่าสิทธิการใช้โปรแกรม ปี 70"/>
      <sheetName val="โปรแกรม &amp; Token ปี 70"/>
      <sheetName val="ปี 69"/>
      <sheetName val="ค่าสิทธิการใช้โปรแกรม ปี 67 ฝทส"/>
      <sheetName val=" ปี 68 )"/>
      <sheetName val="วิธีการและเวลาที่ใช้จัดหา"/>
      <sheetName val="2022 Renewal งาน ค่าสิทธิ์ "/>
      <sheetName val="Simcorp"/>
      <sheetName val="ฝ่าย_fundcenter"/>
    </sheetNames>
    <sheetDataSet>
      <sheetData sheetId="0" refreshError="1"/>
      <sheetData sheetId="1" refreshError="1"/>
      <sheetData sheetId="2">
        <row r="202">
          <cell r="H202">
            <v>48000</v>
          </cell>
          <cell r="I202">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570"/>
      <sheetName val="2569"/>
      <sheetName val="2568 "/>
      <sheetName val="2567"/>
      <sheetName val="2566"/>
      <sheetName val="2565"/>
      <sheetName val="2564"/>
      <sheetName val="2563"/>
      <sheetName val="2562"/>
      <sheetName val="2561"/>
      <sheetName val="61"/>
      <sheetName val="2560"/>
      <sheetName val="2559"/>
      <sheetName val="สถิติ คชจ สืบสวน"/>
    </sheetNames>
    <sheetDataSet>
      <sheetData sheetId="0" refreshError="1">
        <row r="7">
          <cell r="E7">
            <v>220000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คำแนะนำ"/>
      <sheetName val="รายการอ้างอิง"/>
      <sheetName val="แบบสำรวจอุปกรณ์"/>
      <sheetName val="สรุปแผนจัดซื้อ"/>
      <sheetName val="ทะเบียนครุภัณฑ์ ทญศ."/>
      <sheetName val="ทะเบียนครุภัณฑ์ ทนศ."/>
      <sheetName val="ทะเบียนครุภัณฑ์ สภน."/>
      <sheetName val="ทะเบียนครุภัณฑ์ สภอ."/>
      <sheetName val="ทะเบียนครุภัณฑ์ สภต."/>
      <sheetName val="แผนทดแทนรายปี"/>
      <sheetName val="สรุปงบประมาณรวม"/>
    </sheetNames>
    <sheetDataSet>
      <sheetData sheetId="0" refreshError="1"/>
      <sheetData sheetId="1" refreshError="1"/>
      <sheetData sheetId="2" refreshError="1">
        <row r="10">
          <cell r="D10" t="str">
            <v>สายดับเพลิงขนาด 2.5 นิ้ว ยาว 30 เมตร</v>
          </cell>
        </row>
        <row r="13">
          <cell r="AB13">
            <v>1</v>
          </cell>
        </row>
        <row r="19">
          <cell r="AB19">
            <v>6</v>
          </cell>
        </row>
        <row r="22">
          <cell r="D22" t="str">
            <v>อุปกรณ์เคลื่อนย้ายรถ</v>
          </cell>
          <cell r="AB22">
            <v>1</v>
          </cell>
        </row>
        <row r="24">
          <cell r="D24" t="str">
            <v>หมวกกันกระสุน (fast helmet)</v>
          </cell>
          <cell r="G24">
            <v>10000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รายการครุภัณฑ์ ปี 69"/>
      <sheetName val="รายการครุภัณฑ์ (RMA) ปี 70"/>
      <sheetName val="ราคาครุภัณฑ์ IT ปี 69"/>
      <sheetName val="ราคาจาก ฝจอ"/>
      <sheetName val="ราคากลางชุด Conference ปี 68"/>
      <sheetName val="ราคากลาง ก่อนแก้"/>
      <sheetName val="รายการครุภัณฑ์ ปี 70 (Original)"/>
      <sheetName val="ราคาครุภัณฑ์ IT ปี 70"/>
      <sheetName val="ราคาครุภัณฑ์ชุดโต๊ะทำงาน ปี 69"/>
      <sheetName val="ราคาครุภัณฑ์ชุดโต๊ะทำงาน ปี 70"/>
      <sheetName val="ราคาครุภัณฑ์โสต ปี 69"/>
      <sheetName val="ราคาครุภัณฑ์โสต ปี 70"/>
      <sheetName val="นิยามอุปกรณ์และโปรแกรม"/>
      <sheetName val="Color Laser Server A4"/>
    </sheetNames>
    <sheetDataSet>
      <sheetData sheetId="0"/>
      <sheetData sheetId="1"/>
      <sheetData sheetId="2"/>
      <sheetData sheetId="3"/>
      <sheetData sheetId="4"/>
      <sheetData sheetId="5"/>
      <sheetData sheetId="6"/>
      <sheetData sheetId="7">
        <row r="7">
          <cell r="E7">
            <v>62400</v>
          </cell>
        </row>
      </sheetData>
      <sheetData sheetId="8"/>
      <sheetData sheetId="9"/>
      <sheetData sheetId="10"/>
      <sheetData sheetId="11"/>
      <sheetData sheetId="12"/>
      <sheetData sheetId="13"/>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ropDown"/>
      <sheetName val="Template OS-2570 "/>
      <sheetName val="คำอธิบาย-template  "/>
      <sheetName val="ภาระผูกพัน"/>
      <sheetName val="งบ69ธปท.อนุมัติ"/>
      <sheetName val="ปี 68"/>
      <sheetName val="ก1-69"/>
      <sheetName val="ก1OT69 ใช้ ก5บางส่วน"/>
      <sheetName val="ก1-ผูกพัน"/>
      <sheetName val="ก1สัญญาใหม่"/>
      <sheetName val="ก2-69"/>
      <sheetName val="ก2-ผูกพัน"/>
      <sheetName val="ก3-69"/>
      <sheetName val="ก3-ผูกพัน"/>
      <sheetName val="ก3-1ปี10ด"/>
      <sheetName val="ก4-69"/>
      <sheetName val="ก4-ผูกพัน"/>
      <sheetName val="ก5-69"/>
      <sheetName val="ก5-งบผูกพัน"/>
      <sheetName val="ก5-กำลังจัดซื้อ"/>
      <sheetName val="ก5-กำลังจัดซื้อ_check"/>
      <sheetName val="ก5-งบผูกพัน "/>
    </sheetNames>
    <sheetDataSet>
      <sheetData sheetId="0" refreshError="1"/>
      <sheetData sheetId="1">
        <row r="10">
          <cell r="AU10">
            <v>8000000</v>
          </cell>
        </row>
        <row r="11">
          <cell r="AU11">
            <v>776000</v>
          </cell>
        </row>
        <row r="12">
          <cell r="AU12">
            <v>21521600</v>
          </cell>
          <cell r="BK12">
            <v>76479500</v>
          </cell>
        </row>
        <row r="14">
          <cell r="AU14">
            <v>5243500</v>
          </cell>
          <cell r="BK14">
            <v>4372900</v>
          </cell>
        </row>
        <row r="18">
          <cell r="AU18">
            <v>5458400</v>
          </cell>
          <cell r="BK18">
            <v>4688000</v>
          </cell>
        </row>
        <row r="20">
          <cell r="AU20">
            <v>5949500</v>
          </cell>
          <cell r="BK20">
            <v>4961200</v>
          </cell>
        </row>
        <row r="24">
          <cell r="AP24">
            <v>10781800</v>
          </cell>
          <cell r="AU24">
            <v>12931600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2570"/>
      <sheetName val="2569"/>
      <sheetName val="2568 "/>
      <sheetName val="2567"/>
      <sheetName val="2566"/>
      <sheetName val="2565"/>
      <sheetName val="2564"/>
      <sheetName val="2563"/>
      <sheetName val="2562"/>
    </sheetNames>
    <sheetDataSet>
      <sheetData sheetId="0">
        <row r="15">
          <cell r="H15">
            <v>1522500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สรุปงบ 31กค69"/>
      <sheetName val="Dataภาพรวม"/>
      <sheetName val="Dataตรวจรับ"/>
      <sheetName val="Dataตรวจรับn"/>
      <sheetName val="Dataจ่ายรายเดือน"/>
      <sheetName val="Dataครุภัณฑ์"/>
      <sheetName val="แผนจัดหา"/>
      <sheetName val="Dataรายเดือนn"/>
      <sheetName val="แผนจัดหาn"/>
      <sheetName val="สรุปงบที่ได้ปี69"/>
      <sheetName val="Dataผลพิปี69จากระบบ"/>
      <sheetName val="งบปี69ที่เสนอผป"/>
      <sheetName val="Sheet1"/>
    </sheetNames>
    <sheetDataSet>
      <sheetData sheetId="0"/>
      <sheetData sheetId="1">
        <row r="10">
          <cell r="G10">
            <v>263759.21000000002</v>
          </cell>
          <cell r="L10">
            <v>0</v>
          </cell>
          <cell r="M10">
            <v>0</v>
          </cell>
          <cell r="N10">
            <v>0</v>
          </cell>
        </row>
        <row r="11">
          <cell r="G11">
            <v>3488800</v>
          </cell>
          <cell r="J11">
            <v>469100</v>
          </cell>
          <cell r="L11">
            <v>0</v>
          </cell>
          <cell r="M11">
            <v>0</v>
          </cell>
          <cell r="N11">
            <v>0</v>
          </cell>
        </row>
        <row r="13">
          <cell r="F13">
            <v>6650000</v>
          </cell>
          <cell r="G13">
            <v>2092323.85</v>
          </cell>
          <cell r="L13">
            <v>0</v>
          </cell>
          <cell r="M13">
            <v>0</v>
          </cell>
          <cell r="N13">
            <v>8000</v>
          </cell>
        </row>
        <row r="15">
          <cell r="G15">
            <v>94933.4</v>
          </cell>
          <cell r="L15">
            <v>43150</v>
          </cell>
          <cell r="M15">
            <v>364763</v>
          </cell>
          <cell r="N15">
            <v>0</v>
          </cell>
        </row>
        <row r="17">
          <cell r="G17">
            <v>10885.35</v>
          </cell>
          <cell r="L17">
            <v>0</v>
          </cell>
          <cell r="M17">
            <v>0</v>
          </cell>
          <cell r="N17">
            <v>16500</v>
          </cell>
        </row>
        <row r="19">
          <cell r="G19">
            <v>274953.43</v>
          </cell>
          <cell r="L19">
            <v>0</v>
          </cell>
          <cell r="M19">
            <v>0</v>
          </cell>
          <cell r="N19">
            <v>0</v>
          </cell>
        </row>
        <row r="23">
          <cell r="G23">
            <v>29746</v>
          </cell>
          <cell r="L23">
            <v>0</v>
          </cell>
          <cell r="M23">
            <v>0</v>
          </cell>
          <cell r="N23">
            <v>0</v>
          </cell>
        </row>
        <row r="24">
          <cell r="G24">
            <v>2145450</v>
          </cell>
          <cell r="J24">
            <v>339000</v>
          </cell>
          <cell r="L24">
            <v>0</v>
          </cell>
          <cell r="M24">
            <v>0</v>
          </cell>
          <cell r="N24">
            <v>0</v>
          </cell>
        </row>
        <row r="26">
          <cell r="G26">
            <v>2601.38</v>
          </cell>
          <cell r="L26">
            <v>0</v>
          </cell>
          <cell r="M26">
            <v>0</v>
          </cell>
          <cell r="N26">
            <v>0</v>
          </cell>
        </row>
        <row r="30">
          <cell r="G30">
            <v>95520.98</v>
          </cell>
          <cell r="L30">
            <v>44528.4</v>
          </cell>
          <cell r="M30">
            <v>0</v>
          </cell>
          <cell r="N30">
            <v>12032.15</v>
          </cell>
        </row>
        <row r="32">
          <cell r="G32">
            <v>131022.48</v>
          </cell>
          <cell r="L32">
            <v>0</v>
          </cell>
          <cell r="M32">
            <v>0</v>
          </cell>
          <cell r="N32">
            <v>0</v>
          </cell>
        </row>
        <row r="34">
          <cell r="G34">
            <v>24068</v>
          </cell>
          <cell r="L34">
            <v>0</v>
          </cell>
          <cell r="M34">
            <v>0</v>
          </cell>
          <cell r="N34">
            <v>0</v>
          </cell>
        </row>
        <row r="36">
          <cell r="G36">
            <v>355101.65</v>
          </cell>
          <cell r="L36">
            <v>0</v>
          </cell>
          <cell r="M36">
            <v>0</v>
          </cell>
          <cell r="N36">
            <v>17401.3</v>
          </cell>
        </row>
        <row r="38">
          <cell r="G38">
            <v>1177</v>
          </cell>
          <cell r="L38">
            <v>0</v>
          </cell>
          <cell r="M38">
            <v>0</v>
          </cell>
          <cell r="N38">
            <v>0</v>
          </cell>
        </row>
        <row r="40">
          <cell r="G40">
            <v>5550</v>
          </cell>
          <cell r="L40">
            <v>0</v>
          </cell>
          <cell r="M40">
            <v>0</v>
          </cell>
          <cell r="N40">
            <v>0</v>
          </cell>
        </row>
        <row r="42">
          <cell r="G42">
            <v>60000</v>
          </cell>
          <cell r="L42">
            <v>0</v>
          </cell>
          <cell r="M42">
            <v>0</v>
          </cell>
          <cell r="N42">
            <v>0</v>
          </cell>
        </row>
        <row r="47">
          <cell r="G47">
            <v>0</v>
          </cell>
          <cell r="L47">
            <v>256800</v>
          </cell>
          <cell r="M47">
            <v>0</v>
          </cell>
          <cell r="N47">
            <v>0</v>
          </cell>
        </row>
        <row r="48">
          <cell r="G48">
            <v>1650000</v>
          </cell>
          <cell r="L48">
            <v>0</v>
          </cell>
          <cell r="M48">
            <v>0</v>
          </cell>
          <cell r="N48">
            <v>110000</v>
          </cell>
        </row>
        <row r="49">
          <cell r="G49">
            <v>0</v>
          </cell>
          <cell r="L49">
            <v>0</v>
          </cell>
          <cell r="M49">
            <v>1430000</v>
          </cell>
          <cell r="N49">
            <v>0</v>
          </cell>
        </row>
        <row r="50">
          <cell r="G50">
            <v>0</v>
          </cell>
          <cell r="L50">
            <v>1765500</v>
          </cell>
          <cell r="M50">
            <v>0</v>
          </cell>
          <cell r="N50">
            <v>0</v>
          </cell>
        </row>
        <row r="51">
          <cell r="G51">
            <v>0</v>
          </cell>
          <cell r="L51">
            <v>0</v>
          </cell>
          <cell r="M51">
            <v>48685</v>
          </cell>
          <cell r="N51">
            <v>0</v>
          </cell>
        </row>
        <row r="54">
          <cell r="G54">
            <v>0</v>
          </cell>
          <cell r="L54">
            <v>8000</v>
          </cell>
          <cell r="M54">
            <v>0</v>
          </cell>
          <cell r="N54">
            <v>0</v>
          </cell>
        </row>
        <row r="56">
          <cell r="G56">
            <v>0</v>
          </cell>
          <cell r="L56">
            <v>0</v>
          </cell>
          <cell r="M56">
            <v>0</v>
          </cell>
          <cell r="N56">
            <v>0</v>
          </cell>
        </row>
        <row r="57">
          <cell r="G57">
            <v>0</v>
          </cell>
          <cell r="L57">
            <v>0</v>
          </cell>
          <cell r="M57">
            <v>0</v>
          </cell>
          <cell r="N57">
            <v>0</v>
          </cell>
        </row>
        <row r="59">
          <cell r="G59">
            <v>0</v>
          </cell>
          <cell r="L59">
            <v>0</v>
          </cell>
          <cell r="M59">
            <v>0</v>
          </cell>
          <cell r="N59">
            <v>0</v>
          </cell>
        </row>
        <row r="61">
          <cell r="G61">
            <v>0</v>
          </cell>
          <cell r="L61">
            <v>0</v>
          </cell>
          <cell r="M61">
            <v>105000</v>
          </cell>
          <cell r="N61">
            <v>0</v>
          </cell>
        </row>
        <row r="63">
          <cell r="G63">
            <v>4470000</v>
          </cell>
          <cell r="L63">
            <v>0</v>
          </cell>
          <cell r="M63">
            <v>0</v>
          </cell>
          <cell r="N63">
            <v>180000</v>
          </cell>
        </row>
        <row r="64">
          <cell r="G64">
            <v>1170000</v>
          </cell>
          <cell r="L64">
            <v>0</v>
          </cell>
          <cell r="M64">
            <v>0</v>
          </cell>
          <cell r="N64">
            <v>10000</v>
          </cell>
        </row>
        <row r="65">
          <cell r="G65">
            <v>0</v>
          </cell>
          <cell r="L65">
            <v>1000000</v>
          </cell>
          <cell r="M65">
            <v>0</v>
          </cell>
          <cell r="N65">
            <v>0</v>
          </cell>
        </row>
        <row r="66">
          <cell r="G66">
            <v>0</v>
          </cell>
          <cell r="L66">
            <v>0</v>
          </cell>
          <cell r="M66">
            <v>13100000</v>
          </cell>
          <cell r="N66">
            <v>0</v>
          </cell>
        </row>
      </sheetData>
      <sheetData sheetId="2"/>
      <sheetData sheetId="3"/>
      <sheetData sheetId="4"/>
      <sheetData sheetId="5"/>
      <sheetData sheetId="6">
        <row r="22">
          <cell r="Y22">
            <v>39800</v>
          </cell>
        </row>
      </sheetData>
      <sheetData sheetId="7"/>
      <sheetData sheetId="8"/>
      <sheetData sheetId="9"/>
      <sheetData sheetId="10"/>
      <sheetData sheetId="11"/>
      <sheetData sheetId="12"/>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panorp_bot_or_th/Documents/&#3613;&#3619;&#3616;/7%20&#3591;&#3611;&#3617;/&#3611;&#3637;%2069/5%20&#3591;&#3610;&#3611;&#3637;%2070/working%20&#3591;&#3610;&#3611;&#3637;70-ePB/A9--&#3623;&#3633;&#3626;&#3604;&#3640;&#3588;&#3629;&#3617;&#3614;&#3636;&#3623;&#3648;&#3605;&#3629;&#3619;&#3660;%20&#3611;&#3637;70.xlsx" TargetMode="External"/><Relationship Id="rId18" Type="http://schemas.openxmlformats.org/officeDocument/2006/relationships/hyperlink" Target="../../../../../../../panorp_bot_or_th/Documents/&#3613;&#3619;&#3616;/7%20&#3591;&#3611;&#3617;/&#3611;&#3637;%2069/5%20&#3591;&#3610;&#3611;&#3637;%2070/working%20&#3591;&#3610;&#3611;&#3637;70-ePB/A14--&#3588;&#3656;&#3634;&#3608;&#3619;&#3619;&#3617;&#3648;&#3609;&#3637;&#3618;&#3617;&#3629;&#3639;&#3656;&#3609;%20&#3611;&#3637;70.xlsx" TargetMode="External"/><Relationship Id="rId26" Type="http://schemas.openxmlformats.org/officeDocument/2006/relationships/hyperlink" Target="../../../../../../../panorp_bot_or_th/Documents/&#3613;&#3619;&#3616;/7%20&#3591;&#3611;&#3617;/&#3611;&#3637;%2069/5%20&#3591;&#3610;&#3611;&#3637;%2070/working%20&#3591;&#3610;&#3611;&#3637;70-ePB/B5--&#3649;&#3610;&#3610;&#3586;&#3629;&#3591;&#3610;&#3588;&#3619;&#3640;&#3616;&#3633;&#3603;&#3601;&#3660;--UVSS.doc" TargetMode="External"/><Relationship Id="rId39" Type="http://schemas.openxmlformats.org/officeDocument/2006/relationships/hyperlink" Target="../../../../../../../panorp_bot_or_th/Documents/&#3613;&#3619;&#3616;/7%20&#3591;&#3611;&#3617;/&#3611;&#3637;%2069/5%20&#3591;&#3610;&#3611;&#3637;%2070/working%20&#3591;&#3610;&#3611;&#3637;70-ePB/B23--&#3649;&#3610;&#3610;&#3586;&#3629;&#3591;&#3610;&#3588;&#3619;&#3640;&#3616;&#3633;&#3603;&#3601;&#3660;--&#3648;&#3588;&#3619;&#3639;&#3656;&#3629;&#3591;&#3629;&#3633;&#3604;&#3629;&#3634;&#3585;&#3634;&#3624;.docx" TargetMode="External"/><Relationship Id="rId21" Type="http://schemas.openxmlformats.org/officeDocument/2006/relationships/hyperlink" Target="../../../../../../../panorp_bot_or_th/Documents/&#3613;&#3619;&#3616;/7%20&#3591;&#3611;&#3617;/&#3611;&#3637;%2069/5%20&#3591;&#3610;&#3611;&#3637;%2070/working%20&#3591;&#3610;&#3611;&#3637;70-ePB/A15-2--&#3650;&#3611;&#3619;&#3649;&#3585;&#3619;&#3617;%20&#3613;&#3607;&#3626;%20&#3626;&#3656;&#3623;&#3609;&#3585;&#3621;&#3634;&#3591;%20&#3611;&#3637;70.xlsx" TargetMode="External"/><Relationship Id="rId34" Type="http://schemas.openxmlformats.org/officeDocument/2006/relationships/hyperlink" Target="../../../../../../../panorp_bot_or_th/Documents/&#3613;&#3619;&#3616;/7%20&#3591;&#3611;&#3617;/&#3611;&#3637;%2069/5%20&#3591;&#3610;&#3611;&#3637;%2070/working%20&#3591;&#3610;&#3611;&#3637;70-ePB/B17--&#3649;&#3610;&#3610;&#3586;&#3629;&#3591;&#3610;&#3588;&#3619;&#3640;&#3616;&#3633;&#3603;&#3601;&#3660;%20--&#3648;&#3588;&#3619;&#3639;&#3656;&#3629;&#3591;&#3606;&#3656;&#3634;&#3618;&#3610;&#3633;&#3605;&#3619;&#3611;&#3594;&#3594;%20.docx" TargetMode="External"/><Relationship Id="rId42" Type="http://schemas.openxmlformats.org/officeDocument/2006/relationships/hyperlink" Target="../../../../../../../panorp_bot_or_th/Documents/&#3613;&#3619;&#3616;/7%20&#3591;&#3611;&#3617;/&#3611;&#3637;%2069/5%20&#3591;&#3610;&#3611;&#3637;%2070/working%20&#3591;&#3610;&#3611;&#3637;70-ePB/B2--&#3649;&#3610;&#3610;&#3586;&#3629;&#3591;&#3610;&#3588;&#3619;&#3640;&#3616;&#3633;&#3603;&#3601;&#3660;--&#3619;&#3632;&#3610;&#3610;&#3649;&#3592;&#3657;&#3591;&#3648;&#3605;&#3639;&#3629;&#3609;&#3586;&#3629;&#3588;&#3623;&#3634;&#3617;&#3594;&#3656;&#3623;&#3618;&#3648;&#3627;&#3621;&#3639;&#3629;&#3648;&#3617;&#3639;&#3656;&#3629;&#3648;&#3585;&#3636;&#3604;&#3648;&#3627;&#3605;&#3640;&#3585;&#3634;&#3619;&#3603;&#3660;&#3652;&#3617;&#3656;&#3611;&#3585;&#3605;&#3636;.doc" TargetMode="External"/><Relationship Id="rId47" Type="http://schemas.openxmlformats.org/officeDocument/2006/relationships/vmlDrawing" Target="../drawings/vmlDrawing1.vml"/><Relationship Id="rId7" Type="http://schemas.openxmlformats.org/officeDocument/2006/relationships/hyperlink" Target="../../../../../../../panorp_bot_or_th/Documents/&#3613;&#3619;&#3616;/7%20&#3591;&#3611;&#3617;/&#3611;&#3637;%2069/5%20&#3591;&#3610;&#3611;&#3637;%2070/working%20&#3591;&#3610;&#3611;&#3637;70-ePB/A4---&#3626;&#3588;&#3626;%20&#3611;&#3637;70.xlsx" TargetMode="External"/><Relationship Id="rId2" Type="http://schemas.openxmlformats.org/officeDocument/2006/relationships/hyperlink" Target="../../../../../../../panorp_bot_or_th/Documents/&#3613;&#3619;&#3616;/7%20&#3591;&#3611;&#3617;/&#3611;&#3637;%2069/5%20&#3591;&#3610;&#3611;&#3637;%2070/working%20&#3591;&#3610;&#3611;&#3637;70-ePB/B8--&#3649;&#3610;&#3610;&#3586;&#3629;&#3591;&#3610;&#3588;&#3619;&#3640;&#3616;&#3633;&#3603;&#3601;&#3660;--CCTV-FIXED&amp;PTZ.doc" TargetMode="External"/><Relationship Id="rId16" Type="http://schemas.openxmlformats.org/officeDocument/2006/relationships/hyperlink" Target="../../../../../../../panorp_bot_or_th/Documents/&#3613;&#3619;&#3616;/7%20&#3591;&#3611;&#3617;/&#3611;&#3637;%2069/5%20&#3591;&#3610;&#3611;&#3637;%2070/working%20&#3591;&#3610;&#3611;&#3637;70-ePB/A12--&#3588;&#3656;&#3634;&#3619;&#3633;&#3610;&#3619;&#3629;&#3591;%20&#3611;&#3637;70.xlsx" TargetMode="External"/><Relationship Id="rId29" Type="http://schemas.openxmlformats.org/officeDocument/2006/relationships/hyperlink" Target="../../../../../../../panorp_bot_or_th/Documents/&#3613;&#3619;&#3616;/7%20&#3591;&#3611;&#3617;/&#3611;&#3637;%2069/5%20&#3591;&#3610;&#3611;&#3637;%2070/working%20&#3591;&#3610;&#3611;&#3637;70-ePB/B9--&#3649;&#3610;&#3610;&#3586;&#3629;&#3591;&#3610;&#3588;&#3619;&#3640;&#3616;&#3633;&#3603;&#3601;&#3660;--Body%20Camera%20&#3594;&#3609;&#3636;&#3604;%20Live%20Stream.docx" TargetMode="External"/><Relationship Id="rId1" Type="http://schemas.openxmlformats.org/officeDocument/2006/relationships/hyperlink" Target="file:///C:\&#3611;&#3637;%2068\7%20&#3591;&#3610;&#3611;&#3637;%2069\working%20&#3605;&#3633;&#3657;&#3591;&#3591;&#3610;&#3611;&#3637;69%20-%20final\&#3588;&#3619;&#3640;&#3616;&#3633;&#3603;&#3601;&#3660;\C2--%20&#3649;&#3610;&#3610;&#3586;&#3629;&#3591;&#3610;&#3588;&#3619;&#3640;&#3616;&#3633;&#3603;&#3601;&#3660;--%20&#3585;&#3621;&#3657;&#3629;&#3591;%20CCTV%20PTZ%20&#3626;&#3609;&#3597;%20&#3626;&#3635;&#3619;&#3629;&#3591;&#3585;&#3634;&#3619;&#3651;&#3594;&#3657;&#3591;&#3634;&#3609;.docx" TargetMode="External"/><Relationship Id="rId6" Type="http://schemas.openxmlformats.org/officeDocument/2006/relationships/hyperlink" Target="../../../../../../../panorp_bot_or_th/Documents/&#3613;&#3619;&#3616;/7%20&#3591;&#3611;&#3617;/&#3611;&#3637;%2069/5%20&#3591;&#3610;&#3611;&#3637;%2070/working%20&#3591;&#3610;&#3611;&#3637;70-ePB/A3-1-&#3648;&#3626;&#3639;&#3657;&#3629;&#3612;&#3657;&#3634;%20&#3611;&#3637;70.xlsx" TargetMode="External"/><Relationship Id="rId11" Type="http://schemas.openxmlformats.org/officeDocument/2006/relationships/hyperlink" Target="../../../../../../../panorp_bot_or_th/Documents/&#3613;&#3619;&#3616;/7%20&#3591;&#3611;&#3617;/&#3611;&#3637;%2069/5%20&#3591;&#3610;&#3611;&#3637;%2070/working%20&#3591;&#3610;&#3611;&#3637;70-ePB/A7-1--&#3588;&#3656;&#3634;&#3592;&#3657;&#3634;&#3591;&#3649;&#3619;&#3591;&#3591;&#3634;&#3609;&#3607;&#3635;&#3586;&#3629;&#3591;%20&#3611;&#3637;70.xlsx" TargetMode="External"/><Relationship Id="rId24" Type="http://schemas.openxmlformats.org/officeDocument/2006/relationships/hyperlink" Target="../../../../../../../panorp_bot_or_th/Documents/&#3613;&#3619;&#3616;/7%20&#3591;&#3611;&#3617;/&#3611;&#3637;%2069/5%20&#3591;&#3610;&#3611;&#3637;%2070/working%20&#3591;&#3610;&#3611;&#3637;70-ePB/B3--&#3649;&#3610;&#3610;&#3586;&#3629;&#3591;&#3610;&#3588;&#3619;&#3640;&#3616;&#3633;&#3603;&#3601;&#3660;%20--&#3619;&#3606;&#3586;&#3609;&#3626;&#3656;&#3591;(&#3619;&#3606;&#3611;&#3619;&#3632;&#3605;&#3641;2&#3604;&#3657;&#3634;&#3609;+&#3629;&#3640;&#3611;&#3585;&#3619;&#3603;&#3660;).docx" TargetMode="External"/><Relationship Id="rId32" Type="http://schemas.openxmlformats.org/officeDocument/2006/relationships/hyperlink" Target="../../../../../../../panorp_bot_or_th/Documents/&#3613;&#3619;&#3616;/7%20&#3591;&#3611;&#3617;/&#3611;&#3637;%2069/5%20&#3591;&#3610;&#3611;&#3637;%2070/working%20&#3591;&#3610;&#3611;&#3637;70-ePB/B15--&#3649;&#3610;&#3610;&#3586;&#3629;&#3591;&#3610;&#3588;&#3619;&#3640;&#3616;&#3633;&#3603;&#3601;&#3660;--cardreader.doc" TargetMode="External"/><Relationship Id="rId37" Type="http://schemas.openxmlformats.org/officeDocument/2006/relationships/hyperlink" Target="../../../../../../../panorp_bot_or_th/Documents/&#3613;&#3619;&#3616;/7%20&#3591;&#3611;&#3617;/&#3611;&#3637;%2069/5%20&#3591;&#3610;&#3611;&#3637;%2070/working%20&#3591;&#3610;&#3611;&#3637;70-ePB/B21--&#3649;&#3610;&#3610;&#3586;&#3629;&#3591;&#3610;&#3588;&#3619;&#3640;&#3616;&#3633;&#3603;&#3601;&#3660;--&#3648;&#3588;&#3619;&#3639;&#3656;&#3629;&#3591;&#3588;&#3629;&#3617;&#3614;&#3636;&#3623;&#3648;&#3605;&#3629;&#3619;&#3660;%20NoteBook.docx" TargetMode="External"/><Relationship Id="rId40" Type="http://schemas.openxmlformats.org/officeDocument/2006/relationships/hyperlink" Target="../../../../../../../panorp_bot_or_th/Documents/&#3613;&#3619;&#3616;/7%20&#3591;&#3611;&#3617;/&#3611;&#3637;%2069/5%20&#3591;&#3610;&#3611;&#3637;%2070/working%20&#3591;&#3610;&#3611;&#3637;70-ePB/B24--&#3649;&#3610;&#3610;&#3586;&#3629;&#3591;&#3610;&#3588;&#3619;&#3640;&#3616;&#3633;&#3603;&#3601;&#3660;--&#3594;&#3640;&#3604;&#3594;&#3656;&#3623;&#3618;&#3627;&#3634;&#3618;&#3651;&#3592;%20SCBA.docx" TargetMode="External"/><Relationship Id="rId45" Type="http://schemas.openxmlformats.org/officeDocument/2006/relationships/printerSettings" Target="../printerSettings/printerSettings1.bin"/><Relationship Id="rId5" Type="http://schemas.openxmlformats.org/officeDocument/2006/relationships/hyperlink" Target="../../../../../../../panorp_bot_or_th/Documents/&#3613;&#3619;&#3616;/7%20&#3591;&#3611;&#3617;/&#3611;&#3637;%2069/5%20&#3591;&#3610;&#3611;&#3637;%2070/working%20&#3591;&#3610;&#3611;&#3637;70-ePB/A2---&#3648;&#3591;&#3636;&#3609;&#3594;&#3656;&#3623;&#3618;&#3648;&#3627;&#3621;&#3639;&#3629;&#3629;&#3639;&#3656;&#3609;-&#3611;&#3599;&#3636;&#3610;&#3633;&#3605;&#3636;&#3591;&#3634;&#3609;&#3605;&#3656;&#3634;&#3591;%20&#3626;&#3609;&#3591;%20&#3611;&#3637;70.xlsx" TargetMode="External"/><Relationship Id="rId15" Type="http://schemas.openxmlformats.org/officeDocument/2006/relationships/hyperlink" Target="../../../../../../../panorp_bot_or_th/Documents/&#3613;&#3619;&#3616;/7%20&#3591;&#3611;&#3617;/&#3611;&#3637;%2069/5%20&#3591;&#3610;&#3611;&#3637;%2070/working%20&#3591;&#3610;&#3611;&#3637;70-ePB/A11--&#3588;&#3656;&#3634;&#3651;&#3594;&#3657;&#3592;&#3656;&#3634;&#3618;&#3651;&#3609;&#3585;&#3634;&#3619;&#3592;&#3633;&#3604;&#3591;&#3634;&#3609;&#3631;%20&#3611;&#3637;70.xlsx" TargetMode="External"/><Relationship Id="rId23" Type="http://schemas.openxmlformats.org/officeDocument/2006/relationships/hyperlink" Target="../../../../../../../panorp_bot_or_th/Documents/&#3613;&#3619;&#3616;/7%20&#3591;&#3611;&#3617;/&#3611;&#3637;%2069/5%20&#3591;&#3610;&#3611;&#3637;%2070/working%20&#3591;&#3610;&#3611;&#3637;70-ePB/A3-2-&#3588;&#3656;&#3634;&#3648;&#3594;&#3656;&#3634;&#3594;&#3640;&#3604;&#3626;&#3641;&#3607;%20&#3611;&#3637;70.xlsx" TargetMode="External"/><Relationship Id="rId28" Type="http://schemas.openxmlformats.org/officeDocument/2006/relationships/hyperlink" Target="../../../../../../../panorp_bot_or_th/Documents/&#3613;&#3619;&#3616;/7%20&#3591;&#3611;&#3617;/&#3611;&#3637;%2069/5%20&#3591;&#3610;&#3611;&#3637;%2070/working%20&#3591;&#3610;&#3611;&#3637;70-ePB/B7--&#3649;&#3610;&#3610;&#3586;&#3629;&#3591;&#3610;&#3588;&#3619;&#3640;&#3616;&#3633;&#3603;&#3601;&#3660;%20--&#3585;&#3621;&#3657;&#3629;&#3591;&#3627;&#3609;&#3657;&#3634;&#3619;&#3606;&#3618;&#3609;&#3605;&#3660;.docx" TargetMode="External"/><Relationship Id="rId36" Type="http://schemas.openxmlformats.org/officeDocument/2006/relationships/hyperlink" Target="../../../../../../../panorp_bot_or_th/Documents/&#3613;&#3619;&#3616;/7%20&#3591;&#3611;&#3617;/&#3611;&#3637;%2069/5%20&#3591;&#3610;&#3611;&#3637;%2070/working%20&#3591;&#3610;&#3611;&#3637;70-ePB/B20--&#3649;&#3610;&#3610;&#3588;&#3635;&#3586;&#3629;&#3591;&#3610;&#3588;&#3619;&#3640;&#3616;&#3633;&#3603;&#3601;&#3660;--&#3605;&#3641;&#3657;&#3609;&#3636;&#3619;&#3616;&#3633;&#3618;.docx" TargetMode="External"/><Relationship Id="rId10" Type="http://schemas.openxmlformats.org/officeDocument/2006/relationships/hyperlink" Target="../../../../../../../panorp_bot_or_th/Documents/&#3613;&#3619;&#3616;/7%20&#3591;&#3611;&#3617;/&#3611;&#3637;%2069/5%20&#3591;&#3610;&#3611;&#3637;%2070/working%20&#3591;&#3610;&#3611;&#3637;70-ePB/A6-2-&#3626;&#3619;&#3640;&#3611;&#3588;&#3656;&#3634;&#3592;&#3657;&#3634;OS-&#3611;&#3637;70.xlsx" TargetMode="External"/><Relationship Id="rId19" Type="http://schemas.openxmlformats.org/officeDocument/2006/relationships/hyperlink" Target="../../../../../../../panorp_bot_or_th/Documents/&#3613;&#3619;&#3616;/7%20&#3591;&#3611;&#3617;/&#3611;&#3637;%2069/5%20&#3591;&#3610;&#3611;&#3637;%2070/working%20&#3591;&#3610;&#3611;&#3637;70-ePB/A16--&#3588;&#3594;&#3592;%20&#3626;&#3639;&#3610;&#3626;&#3623;&#3609;%20&#3611;&#3637;70.xlsx" TargetMode="External"/><Relationship Id="rId31" Type="http://schemas.openxmlformats.org/officeDocument/2006/relationships/hyperlink" Target="../../../../../../../panorp_bot_or_th/Documents/&#3613;&#3619;&#3616;/7%20&#3591;&#3611;&#3617;/&#3611;&#3637;%2069/5%20&#3591;&#3610;&#3611;&#3637;%2070/working%20&#3591;&#3610;&#3611;&#3637;70-ePB/B13--&#3649;&#3610;&#3610;&#3586;&#3629;&#3591;&#3610;&#3588;&#3619;&#3640;&#3616;&#3633;&#3603;&#3601;&#3660;--&#3648;&#3588;&#3619;&#3639;&#3656;&#3629;&#3591;&#3648;&#3629;&#3585;&#3595;&#3648;&#3619;&#3618;&#3660;%20&#3629;&#3634;&#3588;&#3634;&#3619;7.doc" TargetMode="External"/><Relationship Id="rId44" Type="http://schemas.openxmlformats.org/officeDocument/2006/relationships/hyperlink" Target="../../../../../../../panorp_bot_or_th/Documents/&#3613;&#3619;&#3616;/7%20&#3591;&#3611;&#3617;/&#3611;&#3637;%2069/5%20&#3591;&#3610;&#3611;&#3637;%2070/working%20&#3591;&#3610;&#3611;&#3637;70-ePB/B12--&#3649;&#3610;&#3610;&#3586;&#3629;&#3591;&#3610;&#3588;&#3619;&#3640;&#3616;&#3633;&#3603;&#3601;&#3660;--beamdetector.doc" TargetMode="External"/><Relationship Id="rId4" Type="http://schemas.openxmlformats.org/officeDocument/2006/relationships/hyperlink" Target="../../../../../../../panorp_bot_or_th/Documents/&#3613;&#3619;&#3616;/7%20&#3591;&#3611;&#3617;/&#3611;&#3637;%2069/5%20&#3591;&#3610;&#3611;&#3637;%2070/working%20&#3591;&#3610;&#3611;&#3637;70-ePB/A1-1-&#3588;&#3656;&#3634;&#3621;&#3656;&#3623;&#3591;&#3648;&#3623;&#3621;&#3634;%20&#3611;&#3637;70.xlsx" TargetMode="External"/><Relationship Id="rId9" Type="http://schemas.openxmlformats.org/officeDocument/2006/relationships/hyperlink" Target="../../../../../../../panorp_bot_or_th/Documents/&#3613;&#3619;&#3616;/7%20&#3591;&#3611;&#3617;/&#3611;&#3637;%2069/5%20&#3591;&#3610;&#3611;&#3637;%2070/working%20&#3591;&#3610;&#3611;&#3637;70-ePB/A6-1-&#3626;&#3619;&#3640;&#3611;&#3588;&#3656;&#3634;&#3592;&#3657;&#3634;OS-&#3611;&#3637;69.xlsx" TargetMode="External"/><Relationship Id="rId14" Type="http://schemas.openxmlformats.org/officeDocument/2006/relationships/hyperlink" Target="../../../../../../../panorp_bot_or_th/Documents/&#3613;&#3619;&#3616;/7%20&#3591;&#3611;&#3617;/&#3611;&#3637;%2069/5%20&#3591;&#3610;&#3611;&#3637;%2070/working%20&#3591;&#3610;&#3611;&#3637;70-ePB/A10--&#3588;&#3656;&#3634;&#3623;&#3633;&#3626;&#3604;&#3640;&#3607;&#3633;&#3656;&#3623;&#3652;&#3611;%20&#3611;&#3637;70.xlsx" TargetMode="External"/><Relationship Id="rId22" Type="http://schemas.openxmlformats.org/officeDocument/2006/relationships/hyperlink" Target="../../../../../../../panorp_bot_or_th/Documents/&#3613;&#3619;&#3616;/7%20&#3591;&#3611;&#3617;/&#3611;&#3637;%2069/5%20&#3591;&#3610;&#3611;&#3637;%2070/working%20&#3591;&#3610;&#3611;&#3637;70-ePB/A7-2--&#3588;&#3656;&#3634;&#3605;&#3629;&#3610;&#3649;&#3607;&#3609;&#3610;&#3640;&#3588;&#3588;&#3621;&#3616;&#3634;&#3618;&#3609;&#3629;&#3585;%20&#3611;&#3637;70.xlsx" TargetMode="External"/><Relationship Id="rId27" Type="http://schemas.openxmlformats.org/officeDocument/2006/relationships/hyperlink" Target="../../../../../../../panorp_bot_or_th/Documents/&#3613;&#3619;&#3616;/7%20&#3591;&#3611;&#3617;/&#3611;&#3637;%2069/5%20&#3591;&#3610;&#3611;&#3637;%2070/working%20&#3591;&#3610;&#3611;&#3637;70-ePB/B6---&#3649;&#3610;&#3610;&#3586;&#3629;&#3588;&#3619;&#3640;&#3616;&#3633;&#3603;&#3601;&#3660;--&#3629;&#3640;&#3611;&#3585;&#3619;&#3603;&#3660;&#3648;&#3588;&#3621;&#3639;&#3656;&#3629;&#3609;&#3618;&#3657;&#3634;&#3618;&#3619;&#3606;&#3618;&#3609;&#3605;&#3660;.docx" TargetMode="External"/><Relationship Id="rId30" Type="http://schemas.openxmlformats.org/officeDocument/2006/relationships/hyperlink" Target="../../../../../../../panorp_bot_or_th/Documents/&#3613;&#3619;&#3616;/7%20&#3591;&#3611;&#3617;/&#3611;&#3637;%2069/5%20&#3591;&#3610;&#3611;&#3637;%2070/working%20&#3591;&#3610;&#3611;&#3637;70-ePB/B10--&#3649;&#3610;&#3610;&#3586;&#3629;&#3591;&#3610;&#3588;&#3619;&#3640;&#3616;&#3633;&#3603;&#3601;&#3660;--&#3585;&#3621;&#3657;&#3629;&#3591;%20Thermal%20(&#3592;&#3640;&#3604;&#3594;&#3634;&#3619;&#3660;&#3592;%20EV).docx" TargetMode="External"/><Relationship Id="rId35" Type="http://schemas.openxmlformats.org/officeDocument/2006/relationships/hyperlink" Target="../../../../../../../panorp_bot_or_th/Documents/&#3613;&#3619;&#3616;/7%20&#3591;&#3611;&#3617;/&#3611;&#3637;%2069/5%20&#3591;&#3610;&#3611;&#3637;%2070/working%20&#3591;&#3610;&#3611;&#3637;70-ePB/B19--&#3649;&#3610;&#3610;&#3588;&#3635;&#3586;&#3629;&#3591;&#3610;&#3588;&#3619;&#3640;&#3616;&#3633;&#3603;&#3601;&#3660;--&#3611;&#3639;&#3609;&#3652;&#3615;&#3615;&#3657;&#3634;%20(Taser%20Gun).docx" TargetMode="External"/><Relationship Id="rId43" Type="http://schemas.openxmlformats.org/officeDocument/2006/relationships/hyperlink" Target="../../../../../../../panorp_bot_or_th/Documents/&#3613;&#3619;&#3616;/7%20&#3591;&#3611;&#3617;/&#3611;&#3637;%2069/5%20&#3591;&#3610;&#3611;&#3637;%2070/working%20&#3591;&#3610;&#3611;&#3637;70-ePB/B14--&#3649;&#3610;&#3610;&#3586;&#3629;&#3591;&#3610;&#3588;&#3619;&#3640;&#3616;&#3633;&#3603;&#3601;&#3660;--RFID.doc" TargetMode="External"/><Relationship Id="rId48" Type="http://schemas.openxmlformats.org/officeDocument/2006/relationships/comments" Target="../comments1.xml"/><Relationship Id="rId8" Type="http://schemas.openxmlformats.org/officeDocument/2006/relationships/hyperlink" Target="../../../../../../../panorp_bot_or_th/Documents/&#3613;&#3619;&#3616;/7%20&#3591;&#3611;&#3617;/&#3611;&#3637;%2069/5%20&#3591;&#3610;&#3611;&#3637;%2070/working%20&#3591;&#3610;&#3611;&#3637;70-ePB/A5---&#3588;&#3656;&#3634;&#3613;&#3638;&#3585;&#3629;&#3610;&#3619;&#3617;%20&#3611;&#3637;70.xlsx" TargetMode="External"/><Relationship Id="rId3" Type="http://schemas.openxmlformats.org/officeDocument/2006/relationships/hyperlink" Target="../../../../../../../panorp_bot_or_th/Documents/&#3613;&#3619;&#3616;/7%20&#3591;&#3611;&#3617;/&#3611;&#3637;%2069/5%20&#3591;&#3610;&#3611;&#3637;%2070/working%20&#3591;&#3610;&#3611;&#3637;70-ePB/A1-2-&#3648;&#3591;&#3636;&#3609;&#3594;&#3656;&#3623;&#3618;&#3648;&#3627;&#3621;&#3639;&#3629;&#3614;&#3636;&#3648;&#3624;&#3625;-&#3588;&#3656;&#3634;&#3648;&#3586;&#3657;&#3634;&#3648;&#3623;&#3619;%20&#3611;&#3637;70.xlsx" TargetMode="External"/><Relationship Id="rId12" Type="http://schemas.openxmlformats.org/officeDocument/2006/relationships/hyperlink" Target="../../../../../../../panorp_bot_or_th/Documents/&#3613;&#3619;&#3616;/7%20&#3591;&#3611;&#3617;/&#3611;&#3637;%2069/5%20&#3591;&#3610;&#3611;&#3637;%2070/working%20&#3591;&#3610;&#3611;&#3637;70-ePB/A8--&#3588;&#3656;&#3634;&#3595;&#3656;&#3629;&#3617;&#3610;&#3635;&#3619;&#3640;&#3591;&#3619;&#3632;&#3610;&#3610;%20&#3611;&#3637;70.xlsx" TargetMode="External"/><Relationship Id="rId17" Type="http://schemas.openxmlformats.org/officeDocument/2006/relationships/hyperlink" Target="../../../../../../../panorp_bot_or_th/Documents/&#3613;&#3619;&#3616;/7%20&#3591;&#3611;&#3617;/&#3611;&#3637;%2069/5%20&#3591;&#3610;&#3611;&#3637;%2070/working%20&#3591;&#3610;&#3611;&#3637;70-ePB/A13--&#3588;&#3594;&#3592;%20&#3648;&#3604;&#3636;&#3609;&#3607;&#3634;&#3591;&#3651;&#3609;&#3611;&#3619;&#3632;&#3648;&#3607;&#3624;%20&#3611;&#3637;70.xlsx" TargetMode="External"/><Relationship Id="rId25" Type="http://schemas.openxmlformats.org/officeDocument/2006/relationships/hyperlink" Target="../../../../../../../panorp_bot_or_th/Documents/&#3613;&#3619;&#3616;/7%20&#3591;&#3611;&#3617;/&#3611;&#3637;%2069/5%20&#3591;&#3610;&#3611;&#3637;%2070/working%20&#3591;&#3610;&#3611;&#3637;70-ePB/B4--&#3649;&#3610;&#3610;&#3586;&#3629;&#3591;&#3610;&#3588;&#3619;&#3640;&#3616;&#3633;&#3603;&#3601;&#3660;%20--&#3619;&#3606;&#3586;&#3609;&#3626;&#3656;&#3591;(SUV+&#3629;&#3640;&#3611;&#3585;&#3619;&#3603;&#3660;).docx" TargetMode="External"/><Relationship Id="rId33" Type="http://schemas.openxmlformats.org/officeDocument/2006/relationships/hyperlink" Target="../../../../../../../panorp_bot_or_th/Documents/&#3613;&#3619;&#3616;/7%20&#3591;&#3611;&#3617;/&#3611;&#3637;%2069/5%20&#3591;&#3610;&#3611;&#3637;%2070/working%20&#3591;&#3610;&#3611;&#3637;70-ePB/B16--&#3649;&#3610;&#3610;&#3586;&#3629;&#3591;&#3610;&#3588;&#3619;&#3640;&#3616;&#3633;&#3603;&#3601;&#3660;%20--&#3648;&#3588;&#3619;&#3639;&#3656;&#3629;&#3591;&#3614;&#3636;&#3617;&#3614;&#3660;&#3629;&#3656;&#3634;&#3609;&#3610;&#3633;&#3605;&#3619;&#3611;&#3594;&#3594;..docx" TargetMode="External"/><Relationship Id="rId38" Type="http://schemas.openxmlformats.org/officeDocument/2006/relationships/hyperlink" Target="../../../../../../../panorp_bot_or_th/Documents/&#3613;&#3619;&#3616;/7%20&#3591;&#3611;&#3617;/&#3611;&#3637;%2069/5%20&#3591;&#3610;&#3611;&#3637;%2070/working%20&#3591;&#3610;&#3611;&#3637;70-ePB/B22--&#3649;&#3610;&#3610;&#3588;&#3635;&#3586;&#3629;&#3591;&#3610;&#3588;&#3619;&#3640;&#3616;&#3633;&#3603;&#3601;&#3660;--&#3605;&#3641;&#3657;&#3609;&#3636;&#3619;&#3616;&#3633;&#3618;%20(&#3613;&#3634;&#3585;&#3629;&#3634;&#3623;&#3640;&#3608;&#3611;&#3639;&#3609;%20&#3611;&#3619;&#3632;&#3592;&#3635;%20&#3626;&#3609;&#3597;.).docx" TargetMode="External"/><Relationship Id="rId46" Type="http://schemas.openxmlformats.org/officeDocument/2006/relationships/drawing" Target="../drawings/drawing1.xml"/><Relationship Id="rId20" Type="http://schemas.openxmlformats.org/officeDocument/2006/relationships/hyperlink" Target="../../../../../../../panorp_bot_or_th/Documents/&#3613;&#3619;&#3616;/7%20&#3591;&#3611;&#3617;/&#3611;&#3637;%2069/5%20&#3591;&#3610;&#3611;&#3637;%2070/working%20&#3591;&#3610;&#3611;&#3637;70-ePB/A15-1--&#3650;&#3611;&#3619;&#3649;&#3585;&#3619;&#3617;%20&#3613;&#3607;&#3626;%20&#3626;&#3656;&#3623;&#3609;&#3591;&#3634;&#3609;%20&#3611;&#3637;70.xlsx" TargetMode="External"/><Relationship Id="rId41" Type="http://schemas.openxmlformats.org/officeDocument/2006/relationships/hyperlink" Target="../../../../../../../panorp_bot_or_th/Documents/&#3613;&#3619;&#3616;/7%20&#3591;&#3611;&#3617;/&#3611;&#3637;%2069/5%20&#3591;&#3610;&#3611;&#3637;%2070/working%20&#3591;&#3610;&#3611;&#3637;70-ePB/B25--&#3649;&#3610;&#3610;&#3586;&#3629;&#3591;&#3610;&#3588;&#3619;&#3640;&#3616;&#3633;&#3603;&#3601;&#3660;--&#3648;&#3585;&#3657;&#3634;&#3629;&#3637;&#3657;&#3627;&#3657;&#3629;&#3591;&#3588;&#3623;&#3610;&#3588;&#3640;&#3617;%20&#3619;&#3611;&#3616;.doc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panorp_bot_or_th/Documents/&#3613;&#3619;&#3616;/7%20&#3591;&#3611;&#3617;/&#3611;&#3637;%2069/5%20&#3591;&#3610;&#3611;&#3637;%2070/working%20&#3591;&#3610;&#3611;&#3637;70-ePB/A9--&#3623;&#3633;&#3626;&#3604;&#3640;&#3588;&#3629;&#3617;&#3614;&#3636;&#3623;&#3648;&#3605;&#3629;&#3619;&#3660;%20&#3611;&#3637;70.xlsx" TargetMode="External"/><Relationship Id="rId18" Type="http://schemas.openxmlformats.org/officeDocument/2006/relationships/hyperlink" Target="../../../../../../../panorp_bot_or_th/Documents/&#3613;&#3619;&#3616;/7%20&#3591;&#3611;&#3617;/&#3611;&#3637;%2069/5%20&#3591;&#3610;&#3611;&#3637;%2070/working%20&#3591;&#3610;&#3611;&#3637;70-ePB/A14--&#3588;&#3656;&#3634;&#3608;&#3619;&#3619;&#3617;&#3648;&#3609;&#3637;&#3618;&#3617;&#3629;&#3639;&#3656;&#3609;%20&#3611;&#3637;70.xlsx" TargetMode="External"/><Relationship Id="rId26" Type="http://schemas.openxmlformats.org/officeDocument/2006/relationships/hyperlink" Target="../../../../../../../panorp_bot_or_th/Documents/&#3613;&#3619;&#3616;/7%20&#3591;&#3611;&#3617;/&#3611;&#3637;%2069/5%20&#3591;&#3610;&#3611;&#3637;%2070/working%20&#3591;&#3610;&#3611;&#3637;70-ePB/B5--&#3649;&#3610;&#3610;&#3586;&#3629;&#3591;&#3610;&#3588;&#3619;&#3640;&#3616;&#3633;&#3603;&#3601;&#3660;--UVSS.doc" TargetMode="External"/><Relationship Id="rId39" Type="http://schemas.openxmlformats.org/officeDocument/2006/relationships/hyperlink" Target="../../../../../../../panorp_bot_or_th/Documents/&#3613;&#3619;&#3616;/7%20&#3591;&#3611;&#3617;/&#3611;&#3637;%2069/5%20&#3591;&#3610;&#3611;&#3637;%2070/working%20&#3591;&#3610;&#3611;&#3637;70-ePB/B22--&#3649;&#3610;&#3610;&#3588;&#3635;&#3586;&#3629;&#3591;&#3610;&#3588;&#3619;&#3640;&#3616;&#3633;&#3603;&#3601;&#3660;--&#3605;&#3641;&#3657;&#3609;&#3636;&#3619;&#3616;&#3633;&#3618;%20(&#3613;&#3634;&#3585;&#3629;&#3634;&#3623;&#3640;&#3608;&#3611;&#3639;&#3609;%20&#3611;&#3619;&#3632;&#3592;&#3635;%20&#3626;&#3609;&#3597;.).docx" TargetMode="External"/><Relationship Id="rId21" Type="http://schemas.openxmlformats.org/officeDocument/2006/relationships/hyperlink" Target="../../../../../../../panorp_bot_or_th/Documents/&#3613;&#3619;&#3616;/7%20&#3591;&#3611;&#3617;/&#3611;&#3637;%2069/5%20&#3591;&#3610;&#3611;&#3637;%2070/working%20&#3591;&#3610;&#3611;&#3637;70-ePB/A15-2--&#3650;&#3611;&#3619;&#3649;&#3585;&#3619;&#3617;%20&#3613;&#3607;&#3626;%20&#3626;&#3656;&#3623;&#3609;&#3585;&#3621;&#3634;&#3591;%20&#3611;&#3637;70.xlsx" TargetMode="External"/><Relationship Id="rId34" Type="http://schemas.openxmlformats.org/officeDocument/2006/relationships/hyperlink" Target="../../../../../../../panorp_bot_or_th/Documents/&#3613;&#3619;&#3616;/7%20&#3591;&#3611;&#3617;/&#3611;&#3637;%2069/5%20&#3591;&#3610;&#3611;&#3637;%2070/working%20&#3591;&#3610;&#3611;&#3637;70-ePB/B16--&#3649;&#3610;&#3610;&#3586;&#3629;&#3591;&#3610;&#3588;&#3619;&#3640;&#3616;&#3633;&#3603;&#3601;&#3660;%20--&#3648;&#3588;&#3619;&#3639;&#3656;&#3629;&#3591;&#3614;&#3636;&#3617;&#3614;&#3660;&#3629;&#3656;&#3634;&#3609;&#3610;&#3633;&#3605;&#3619;&#3611;&#3594;&#3594;..docx" TargetMode="External"/><Relationship Id="rId42" Type="http://schemas.openxmlformats.org/officeDocument/2006/relationships/hyperlink" Target="../../../../../../../panorp_bot_or_th/Documents/&#3613;&#3619;&#3616;/7%20&#3591;&#3611;&#3617;/&#3611;&#3637;%2069/5%20&#3591;&#3610;&#3611;&#3637;%2070/working%20&#3591;&#3610;&#3611;&#3637;70-ePB/B25--&#3649;&#3610;&#3610;&#3586;&#3629;&#3591;&#3610;&#3588;&#3619;&#3640;&#3616;&#3633;&#3603;&#3601;&#3660;--&#3648;&#3585;&#3657;&#3634;&#3629;&#3637;&#3657;&#3627;&#3657;&#3629;&#3591;&#3588;&#3623;&#3610;&#3588;&#3640;&#3617;%20&#3619;&#3611;&#3616;.docx" TargetMode="External"/><Relationship Id="rId7" Type="http://schemas.openxmlformats.org/officeDocument/2006/relationships/hyperlink" Target="../../../../../../../panorp_bot_or_th/Documents/&#3613;&#3619;&#3616;/7%20&#3591;&#3611;&#3617;/&#3611;&#3637;%2069/5%20&#3591;&#3610;&#3611;&#3637;%2070/working%20&#3591;&#3610;&#3611;&#3637;70-ePB/A4---&#3626;&#3588;&#3626;%20&#3611;&#3637;70.xlsx" TargetMode="External"/><Relationship Id="rId2" Type="http://schemas.openxmlformats.org/officeDocument/2006/relationships/hyperlink" Target="../../../../../../../panorp_bot_or_th/Documents/&#3613;&#3619;&#3616;/7%20&#3591;&#3611;&#3617;/&#3611;&#3637;%2069/5%20&#3591;&#3610;&#3611;&#3637;%2070/working%20&#3591;&#3610;&#3611;&#3637;70-ePB/B8--&#3649;&#3610;&#3610;&#3586;&#3629;&#3591;&#3610;&#3588;&#3619;&#3640;&#3616;&#3633;&#3603;&#3601;&#3660;--CCTV-FIXED&amp;PTZ.doc" TargetMode="External"/><Relationship Id="rId16" Type="http://schemas.openxmlformats.org/officeDocument/2006/relationships/hyperlink" Target="../../../../../../../panorp_bot_or_th/Documents/&#3613;&#3619;&#3616;/7%20&#3591;&#3611;&#3617;/&#3611;&#3637;%2069/5%20&#3591;&#3610;&#3611;&#3637;%2070/working%20&#3591;&#3610;&#3611;&#3637;70-ePB/A12--&#3588;&#3656;&#3634;&#3619;&#3633;&#3610;&#3619;&#3629;&#3591;%20&#3611;&#3637;70.xlsx" TargetMode="External"/><Relationship Id="rId29" Type="http://schemas.openxmlformats.org/officeDocument/2006/relationships/hyperlink" Target="../../../../../../../panorp_bot_or_th/Documents/&#3613;&#3619;&#3616;/7%20&#3591;&#3611;&#3617;/&#3611;&#3637;%2069/5%20&#3591;&#3610;&#3611;&#3637;%2070/working%20&#3591;&#3610;&#3611;&#3637;70-ePB/B9--&#3649;&#3610;&#3610;&#3586;&#3629;&#3591;&#3610;&#3588;&#3619;&#3640;&#3616;&#3633;&#3603;&#3601;&#3660;--Body%20Camera%20&#3594;&#3609;&#3636;&#3604;%20Live%20Stream.docx" TargetMode="External"/><Relationship Id="rId1" Type="http://schemas.openxmlformats.org/officeDocument/2006/relationships/hyperlink" Target="file:///C:\&#3611;&#3637;%2068\7%20&#3591;&#3610;&#3611;&#3637;%2069\working%20&#3605;&#3633;&#3657;&#3591;&#3591;&#3610;&#3611;&#3637;69%20-%20final\&#3588;&#3619;&#3640;&#3616;&#3633;&#3603;&#3601;&#3660;\C2--%20&#3649;&#3610;&#3610;&#3586;&#3629;&#3591;&#3610;&#3588;&#3619;&#3640;&#3616;&#3633;&#3603;&#3601;&#3660;--%20&#3585;&#3621;&#3657;&#3629;&#3591;%20CCTV%20PTZ%20&#3626;&#3609;&#3597;%20&#3626;&#3635;&#3619;&#3629;&#3591;&#3585;&#3634;&#3619;&#3651;&#3594;&#3657;&#3591;&#3634;&#3609;.docx" TargetMode="External"/><Relationship Id="rId6" Type="http://schemas.openxmlformats.org/officeDocument/2006/relationships/hyperlink" Target="../../../../../../../panorp_bot_or_th/Documents/&#3613;&#3619;&#3616;/7%20&#3591;&#3611;&#3617;/&#3611;&#3637;%2069/5%20&#3591;&#3610;&#3611;&#3637;%2070/working%20&#3591;&#3610;&#3611;&#3637;70-ePB/A3-1-&#3648;&#3626;&#3639;&#3657;&#3629;&#3612;&#3657;&#3634;%20&#3611;&#3637;70.xlsx" TargetMode="External"/><Relationship Id="rId11" Type="http://schemas.openxmlformats.org/officeDocument/2006/relationships/hyperlink" Target="../../../../../../../panorp_bot_or_th/Documents/&#3613;&#3619;&#3616;/7%20&#3591;&#3611;&#3617;/&#3611;&#3637;%2069/5%20&#3591;&#3610;&#3611;&#3637;%2070/working%20&#3591;&#3610;&#3611;&#3637;70-ePB/A7-1--&#3588;&#3656;&#3634;&#3592;&#3657;&#3634;&#3591;&#3649;&#3619;&#3591;&#3591;&#3634;&#3609;&#3607;&#3635;&#3586;&#3629;&#3591;%20&#3611;&#3637;70.xlsx" TargetMode="External"/><Relationship Id="rId24" Type="http://schemas.openxmlformats.org/officeDocument/2006/relationships/hyperlink" Target="../../../../../../../panorp_bot_or_th/Documents/&#3613;&#3619;&#3616;/7%20&#3591;&#3611;&#3617;/&#3611;&#3637;%2069/5%20&#3591;&#3610;&#3611;&#3637;%2070/working%20&#3591;&#3610;&#3611;&#3637;70-ePB/B3--&#3649;&#3610;&#3610;&#3586;&#3629;&#3591;&#3610;&#3588;&#3619;&#3640;&#3616;&#3633;&#3603;&#3601;&#3660;%20--&#3619;&#3606;&#3586;&#3609;&#3626;&#3656;&#3591;(&#3619;&#3606;&#3611;&#3619;&#3632;&#3605;&#3641;2&#3604;&#3657;&#3634;&#3609;+&#3629;&#3640;&#3611;&#3585;&#3619;&#3603;&#3660;).docx" TargetMode="External"/><Relationship Id="rId32" Type="http://schemas.openxmlformats.org/officeDocument/2006/relationships/hyperlink" Target="../../../../../../../panorp_bot_or_th/Documents/&#3613;&#3619;&#3616;/7%20&#3591;&#3611;&#3617;/&#3611;&#3637;%2069/5%20&#3591;&#3610;&#3611;&#3637;%2070/working%20&#3591;&#3610;&#3611;&#3637;70-ePB/B13--&#3649;&#3610;&#3610;&#3586;&#3629;&#3591;&#3610;&#3588;&#3619;&#3640;&#3616;&#3633;&#3603;&#3601;&#3660;--&#3648;&#3588;&#3619;&#3639;&#3656;&#3629;&#3591;&#3648;&#3629;&#3585;&#3595;&#3648;&#3619;&#3618;&#3660;%20&#3629;&#3634;&#3588;&#3634;&#3619;7.doc" TargetMode="External"/><Relationship Id="rId37" Type="http://schemas.openxmlformats.org/officeDocument/2006/relationships/hyperlink" Target="../../../../../../../panorp_bot_or_th/Documents/&#3613;&#3619;&#3616;/7%20&#3591;&#3611;&#3617;/&#3611;&#3637;%2069/5%20&#3591;&#3610;&#3611;&#3637;%2070/working%20&#3591;&#3610;&#3611;&#3637;70-ePB/B20--&#3649;&#3610;&#3610;&#3588;&#3635;&#3586;&#3629;&#3591;&#3610;&#3588;&#3619;&#3640;&#3616;&#3633;&#3603;&#3601;&#3660;--&#3605;&#3641;&#3657;&#3609;&#3636;&#3619;&#3616;&#3633;&#3618;.docx" TargetMode="External"/><Relationship Id="rId40" Type="http://schemas.openxmlformats.org/officeDocument/2006/relationships/hyperlink" Target="../../../../../../../panorp_bot_or_th/Documents/&#3613;&#3619;&#3616;/7%20&#3591;&#3611;&#3617;/&#3611;&#3637;%2069/5%20&#3591;&#3610;&#3611;&#3637;%2070/working%20&#3591;&#3610;&#3611;&#3637;70-ePB/B23--&#3649;&#3610;&#3610;&#3586;&#3629;&#3591;&#3610;&#3588;&#3619;&#3640;&#3616;&#3633;&#3603;&#3601;&#3660;--&#3648;&#3588;&#3619;&#3639;&#3656;&#3629;&#3591;&#3629;&#3633;&#3604;&#3629;&#3634;&#3585;&#3634;&#3624;.docx" TargetMode="External"/><Relationship Id="rId45" Type="http://schemas.openxmlformats.org/officeDocument/2006/relationships/vmlDrawing" Target="../drawings/vmlDrawing2.vml"/><Relationship Id="rId5" Type="http://schemas.openxmlformats.org/officeDocument/2006/relationships/hyperlink" Target="../../../../../../../panorp_bot_or_th/Documents/&#3613;&#3619;&#3616;/7%20&#3591;&#3611;&#3617;/&#3611;&#3637;%2069/5%20&#3591;&#3610;&#3611;&#3637;%2070/working%20&#3591;&#3610;&#3611;&#3637;70-ePB/A2---&#3648;&#3591;&#3636;&#3609;&#3594;&#3656;&#3623;&#3618;&#3648;&#3627;&#3621;&#3639;&#3629;&#3629;&#3639;&#3656;&#3609;-&#3611;&#3599;&#3636;&#3610;&#3633;&#3605;&#3636;&#3591;&#3634;&#3609;&#3605;&#3656;&#3634;&#3591;%20&#3626;&#3609;&#3591;%20&#3611;&#3637;70.xlsx" TargetMode="External"/><Relationship Id="rId15" Type="http://schemas.openxmlformats.org/officeDocument/2006/relationships/hyperlink" Target="../../../../../../../panorp_bot_or_th/Documents/&#3613;&#3619;&#3616;/7%20&#3591;&#3611;&#3617;/&#3611;&#3637;%2069/5%20&#3591;&#3610;&#3611;&#3637;%2070/working%20&#3591;&#3610;&#3611;&#3637;70-ePB/A11--&#3588;&#3656;&#3634;&#3651;&#3594;&#3657;&#3592;&#3656;&#3634;&#3618;&#3651;&#3609;&#3585;&#3634;&#3619;&#3592;&#3633;&#3604;&#3591;&#3634;&#3609;&#3631;%20&#3611;&#3637;70.xlsx" TargetMode="External"/><Relationship Id="rId23" Type="http://schemas.openxmlformats.org/officeDocument/2006/relationships/hyperlink" Target="../../../../../../../panorp_bot_or_th/Documents/&#3613;&#3619;&#3616;/7%20&#3591;&#3611;&#3617;/&#3611;&#3637;%2069/5%20&#3591;&#3610;&#3611;&#3637;%2070/working%20&#3591;&#3610;&#3611;&#3637;70-ePB/A3-2-&#3588;&#3656;&#3634;&#3648;&#3594;&#3656;&#3634;&#3594;&#3640;&#3604;&#3626;&#3641;&#3607;%20&#3611;&#3637;70.xlsx" TargetMode="External"/><Relationship Id="rId28" Type="http://schemas.openxmlformats.org/officeDocument/2006/relationships/hyperlink" Target="../../../../../../../panorp_bot_or_th/Documents/&#3613;&#3619;&#3616;/7%20&#3591;&#3611;&#3617;/&#3611;&#3637;%2069/5%20&#3591;&#3610;&#3611;&#3637;%2070/working%20&#3591;&#3610;&#3611;&#3637;70-ePB/B7--&#3649;&#3610;&#3610;&#3586;&#3629;&#3591;&#3610;&#3588;&#3619;&#3640;&#3616;&#3633;&#3603;&#3601;&#3660;%20--&#3585;&#3621;&#3657;&#3629;&#3591;&#3627;&#3609;&#3657;&#3634;&#3619;&#3606;&#3618;&#3609;&#3605;&#3660;.docx" TargetMode="External"/><Relationship Id="rId36" Type="http://schemas.openxmlformats.org/officeDocument/2006/relationships/hyperlink" Target="../../../../../../../panorp_bot_or_th/Documents/&#3613;&#3619;&#3616;/7%20&#3591;&#3611;&#3617;/&#3611;&#3637;%2069/5%20&#3591;&#3610;&#3611;&#3637;%2070/working%20&#3591;&#3610;&#3611;&#3637;70-ePB/B19--&#3649;&#3610;&#3610;&#3588;&#3635;&#3586;&#3629;&#3591;&#3610;&#3588;&#3619;&#3640;&#3616;&#3633;&#3603;&#3601;&#3660;--&#3611;&#3639;&#3609;&#3652;&#3615;&#3615;&#3657;&#3634;%20(Taser%20Gun).docx" TargetMode="External"/><Relationship Id="rId10" Type="http://schemas.openxmlformats.org/officeDocument/2006/relationships/hyperlink" Target="../../../../../../../panorp_bot_or_th/Documents/&#3613;&#3619;&#3616;/7%20&#3591;&#3611;&#3617;/&#3611;&#3637;%2069/5%20&#3591;&#3610;&#3611;&#3637;%2070/working%20&#3591;&#3610;&#3611;&#3637;70-ePB/A6-2-&#3626;&#3619;&#3640;&#3611;&#3588;&#3656;&#3634;&#3592;&#3657;&#3634;OS-&#3611;&#3637;70.xlsx" TargetMode="External"/><Relationship Id="rId19" Type="http://schemas.openxmlformats.org/officeDocument/2006/relationships/hyperlink" Target="../../../../../../../panorp_bot_or_th/Documents/&#3613;&#3619;&#3616;/7%20&#3591;&#3611;&#3617;/&#3611;&#3637;%2069/5%20&#3591;&#3610;&#3611;&#3637;%2070/working%20&#3591;&#3610;&#3611;&#3637;70-ePB/A16--&#3588;&#3594;&#3592;%20&#3626;&#3639;&#3610;&#3626;&#3623;&#3609;%20&#3611;&#3637;70.xlsx" TargetMode="External"/><Relationship Id="rId31" Type="http://schemas.openxmlformats.org/officeDocument/2006/relationships/hyperlink" Target="../../../../../../../panorp_bot_or_th/Documents/&#3613;&#3619;&#3616;/7%20&#3591;&#3611;&#3617;/&#3611;&#3637;%2069/5%20&#3591;&#3610;&#3611;&#3637;%2070/working%20&#3591;&#3610;&#3611;&#3637;70-ePB/B12--&#3649;&#3610;&#3610;&#3586;&#3629;&#3591;&#3610;&#3588;&#3619;&#3640;&#3616;&#3633;&#3603;&#3601;&#3660;--beamdetector.doc" TargetMode="External"/><Relationship Id="rId44" Type="http://schemas.openxmlformats.org/officeDocument/2006/relationships/drawing" Target="../drawings/drawing2.xml"/><Relationship Id="rId4" Type="http://schemas.openxmlformats.org/officeDocument/2006/relationships/hyperlink" Target="../../../../../../../panorp_bot_or_th/Documents/&#3613;&#3619;&#3616;/7%20&#3591;&#3611;&#3617;/&#3611;&#3637;%2069/5%20&#3591;&#3610;&#3611;&#3637;%2070/working%20&#3591;&#3610;&#3611;&#3637;70-ePB/A1-1-&#3588;&#3656;&#3634;&#3621;&#3656;&#3623;&#3591;&#3648;&#3623;&#3621;&#3634;%20&#3611;&#3637;70.xlsx" TargetMode="External"/><Relationship Id="rId9" Type="http://schemas.openxmlformats.org/officeDocument/2006/relationships/hyperlink" Target="../../../../../../../panorp_bot_or_th/Documents/&#3613;&#3619;&#3616;/7%20&#3591;&#3611;&#3617;/&#3611;&#3637;%2069/5%20&#3591;&#3610;&#3611;&#3637;%2070/working%20&#3591;&#3610;&#3611;&#3637;70-ePB/A6-1-&#3626;&#3619;&#3640;&#3611;&#3588;&#3656;&#3634;&#3592;&#3657;&#3634;OS-&#3611;&#3637;69.xlsx" TargetMode="External"/><Relationship Id="rId14" Type="http://schemas.openxmlformats.org/officeDocument/2006/relationships/hyperlink" Target="../../../../../../../panorp_bot_or_th/Documents/&#3613;&#3619;&#3616;/7%20&#3591;&#3611;&#3617;/&#3611;&#3637;%2069/5%20&#3591;&#3610;&#3611;&#3637;%2070/working%20&#3591;&#3610;&#3611;&#3637;70-ePB/A10--&#3588;&#3656;&#3634;&#3623;&#3633;&#3626;&#3604;&#3640;&#3607;&#3633;&#3656;&#3623;&#3652;&#3611;%20&#3611;&#3637;70.xlsx" TargetMode="External"/><Relationship Id="rId22" Type="http://schemas.openxmlformats.org/officeDocument/2006/relationships/hyperlink" Target="../../../../../../../panorp_bot_or_th/Documents/&#3613;&#3619;&#3616;/7%20&#3591;&#3611;&#3617;/&#3611;&#3637;%2069/5%20&#3591;&#3610;&#3611;&#3637;%2070/working%20&#3591;&#3610;&#3611;&#3637;70-ePB/A7-2--&#3588;&#3656;&#3634;&#3605;&#3629;&#3610;&#3649;&#3607;&#3609;&#3610;&#3640;&#3588;&#3588;&#3621;&#3616;&#3634;&#3618;&#3609;&#3629;&#3585;%20&#3611;&#3637;70.xlsx" TargetMode="External"/><Relationship Id="rId27" Type="http://schemas.openxmlformats.org/officeDocument/2006/relationships/hyperlink" Target="../../../../../../../panorp_bot_or_th/Documents/&#3613;&#3619;&#3616;/7%20&#3591;&#3611;&#3617;/&#3611;&#3637;%2069/5%20&#3591;&#3610;&#3611;&#3637;%2070/working%20&#3591;&#3610;&#3611;&#3637;70-ePB/B6---&#3649;&#3610;&#3610;&#3586;&#3629;&#3588;&#3619;&#3640;&#3616;&#3633;&#3603;&#3601;&#3660;--&#3629;&#3640;&#3611;&#3585;&#3619;&#3603;&#3660;&#3648;&#3588;&#3621;&#3639;&#3656;&#3629;&#3609;&#3618;&#3657;&#3634;&#3618;&#3619;&#3606;&#3618;&#3609;&#3605;&#3660;.docx" TargetMode="External"/><Relationship Id="rId30" Type="http://schemas.openxmlformats.org/officeDocument/2006/relationships/hyperlink" Target="../../../../../../../panorp_bot_or_th/Documents/&#3613;&#3619;&#3616;/7%20&#3591;&#3611;&#3617;/&#3611;&#3637;%2069/5%20&#3591;&#3610;&#3611;&#3637;%2070/working%20&#3591;&#3610;&#3611;&#3637;70-ePB/B10--&#3649;&#3610;&#3610;&#3586;&#3629;&#3591;&#3610;&#3588;&#3619;&#3640;&#3616;&#3633;&#3603;&#3601;&#3660;--&#3585;&#3621;&#3657;&#3629;&#3591;%20Thermal%20(&#3592;&#3640;&#3604;&#3594;&#3634;&#3619;&#3660;&#3592;%20EV).docx" TargetMode="External"/><Relationship Id="rId35" Type="http://schemas.openxmlformats.org/officeDocument/2006/relationships/hyperlink" Target="../../../../../../../panorp_bot_or_th/Documents/&#3613;&#3619;&#3616;/7%20&#3591;&#3611;&#3617;/&#3611;&#3637;%2069/5%20&#3591;&#3610;&#3611;&#3637;%2070/working%20&#3591;&#3610;&#3611;&#3637;70-ePB/B17--&#3649;&#3610;&#3610;&#3586;&#3629;&#3591;&#3610;&#3588;&#3619;&#3640;&#3616;&#3633;&#3603;&#3601;&#3660;%20--&#3648;&#3588;&#3619;&#3639;&#3656;&#3629;&#3591;&#3606;&#3656;&#3634;&#3618;&#3610;&#3633;&#3605;&#3619;&#3611;&#3594;&#3594;%20.docx" TargetMode="External"/><Relationship Id="rId43" Type="http://schemas.openxmlformats.org/officeDocument/2006/relationships/printerSettings" Target="../printerSettings/printerSettings2.bin"/><Relationship Id="rId8" Type="http://schemas.openxmlformats.org/officeDocument/2006/relationships/hyperlink" Target="../../../../../../../panorp_bot_or_th/Documents/&#3613;&#3619;&#3616;/7%20&#3591;&#3611;&#3617;/&#3611;&#3637;%2069/5%20&#3591;&#3610;&#3611;&#3637;%2070/working%20&#3591;&#3610;&#3611;&#3637;70-ePB/A5---&#3588;&#3656;&#3634;&#3613;&#3638;&#3585;&#3629;&#3610;&#3619;&#3617;%20&#3611;&#3637;70.xlsx" TargetMode="External"/><Relationship Id="rId3" Type="http://schemas.openxmlformats.org/officeDocument/2006/relationships/hyperlink" Target="../../../../../../../panorp_bot_or_th/Documents/&#3613;&#3619;&#3616;/7%20&#3591;&#3611;&#3617;/&#3611;&#3637;%2069/5%20&#3591;&#3610;&#3611;&#3637;%2070/working%20&#3591;&#3610;&#3611;&#3637;70-ePB/A1-2-&#3648;&#3591;&#3636;&#3609;&#3594;&#3656;&#3623;&#3618;&#3648;&#3627;&#3621;&#3639;&#3629;&#3614;&#3636;&#3648;&#3624;&#3625;-&#3588;&#3656;&#3634;&#3648;&#3586;&#3657;&#3634;&#3648;&#3623;&#3619;%20&#3611;&#3637;70.xlsx" TargetMode="External"/><Relationship Id="rId12" Type="http://schemas.openxmlformats.org/officeDocument/2006/relationships/hyperlink" Target="../../../../../../../panorp_bot_or_th/Documents/&#3613;&#3619;&#3616;/7%20&#3591;&#3611;&#3617;/&#3611;&#3637;%2069/5%20&#3591;&#3610;&#3611;&#3637;%2070/working%20&#3591;&#3610;&#3611;&#3637;70-ePB/A8--&#3588;&#3656;&#3634;&#3595;&#3656;&#3629;&#3617;&#3610;&#3635;&#3619;&#3640;&#3591;&#3619;&#3632;&#3610;&#3610;%20&#3611;&#3637;70.xlsx" TargetMode="External"/><Relationship Id="rId17" Type="http://schemas.openxmlformats.org/officeDocument/2006/relationships/hyperlink" Target="../../../../../../../panorp_bot_or_th/Documents/&#3613;&#3619;&#3616;/7%20&#3591;&#3611;&#3617;/&#3611;&#3637;%2069/5%20&#3591;&#3610;&#3611;&#3637;%2070/working%20&#3591;&#3610;&#3611;&#3637;70-ePB/A13--&#3588;&#3594;&#3592;%20&#3648;&#3604;&#3636;&#3609;&#3607;&#3634;&#3591;&#3651;&#3609;&#3611;&#3619;&#3632;&#3648;&#3607;&#3624;%20&#3611;&#3637;70.xlsx" TargetMode="External"/><Relationship Id="rId25" Type="http://schemas.openxmlformats.org/officeDocument/2006/relationships/hyperlink" Target="../../../../../../../panorp_bot_or_th/Documents/&#3613;&#3619;&#3616;/7%20&#3591;&#3611;&#3617;/&#3611;&#3637;%2069/5%20&#3591;&#3610;&#3611;&#3637;%2070/working%20&#3591;&#3610;&#3611;&#3637;70-ePB/B4--&#3649;&#3610;&#3610;&#3586;&#3629;&#3591;&#3610;&#3588;&#3619;&#3640;&#3616;&#3633;&#3603;&#3601;&#3660;%20--&#3619;&#3606;&#3586;&#3609;&#3626;&#3656;&#3591;(SUV+&#3629;&#3640;&#3611;&#3585;&#3619;&#3603;&#3660;).docx" TargetMode="External"/><Relationship Id="rId33" Type="http://schemas.openxmlformats.org/officeDocument/2006/relationships/hyperlink" Target="../../../../../../../panorp_bot_or_th/Documents/&#3613;&#3619;&#3616;/7%20&#3591;&#3611;&#3617;/&#3611;&#3637;%2069/5%20&#3591;&#3610;&#3611;&#3637;%2070/working%20&#3591;&#3610;&#3611;&#3637;70-ePB/B15--&#3649;&#3610;&#3610;&#3586;&#3629;&#3591;&#3610;&#3588;&#3619;&#3640;&#3616;&#3633;&#3603;&#3601;&#3660;--cardreader.doc" TargetMode="External"/><Relationship Id="rId38" Type="http://schemas.openxmlformats.org/officeDocument/2006/relationships/hyperlink" Target="../../../../../../../panorp_bot_or_th/Documents/&#3613;&#3619;&#3616;/7%20&#3591;&#3611;&#3617;/&#3611;&#3637;%2069/5%20&#3591;&#3610;&#3611;&#3637;%2070/working%20&#3591;&#3610;&#3611;&#3637;70-ePB/B21--&#3649;&#3610;&#3610;&#3586;&#3629;&#3591;&#3610;&#3588;&#3619;&#3640;&#3616;&#3633;&#3603;&#3601;&#3660;--&#3648;&#3588;&#3619;&#3639;&#3656;&#3629;&#3591;&#3588;&#3629;&#3617;&#3614;&#3636;&#3623;&#3648;&#3605;&#3629;&#3619;&#3660;%20NoteBook.docx" TargetMode="External"/><Relationship Id="rId46" Type="http://schemas.openxmlformats.org/officeDocument/2006/relationships/comments" Target="../comments2.xml"/><Relationship Id="rId20" Type="http://schemas.openxmlformats.org/officeDocument/2006/relationships/hyperlink" Target="../../../../../../../panorp_bot_or_th/Documents/&#3613;&#3619;&#3616;/7%20&#3591;&#3611;&#3617;/&#3611;&#3637;%2069/5%20&#3591;&#3610;&#3611;&#3637;%2070/working%20&#3591;&#3610;&#3611;&#3637;70-ePB/A15-1--&#3650;&#3611;&#3619;&#3649;&#3585;&#3619;&#3617;%20&#3613;&#3607;&#3626;%20&#3626;&#3656;&#3623;&#3609;&#3591;&#3634;&#3609;%20&#3611;&#3637;70.xlsx" TargetMode="External"/><Relationship Id="rId41" Type="http://schemas.openxmlformats.org/officeDocument/2006/relationships/hyperlink" Target="../../../../../../../panorp_bot_or_th/Documents/&#3613;&#3619;&#3616;/7%20&#3591;&#3611;&#3617;/&#3611;&#3637;%2069/5%20&#3591;&#3610;&#3611;&#3637;%2070/working%20&#3591;&#3610;&#3611;&#3637;70-ePB/B24--&#3649;&#3610;&#3610;&#3586;&#3629;&#3591;&#3610;&#3588;&#3619;&#3640;&#3616;&#3633;&#3603;&#3601;&#3660;--&#3594;&#3640;&#3604;&#3594;&#3656;&#3623;&#3618;&#3627;&#3634;&#3618;&#3651;&#3592;%20SCBA.docx"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panorp_bot_or_th/Documents/&#3613;&#3619;&#3616;/7%20&#3591;&#3611;&#3617;/&#3611;&#3637;%2069/5%20&#3591;&#3610;&#3611;&#3637;%2070/working%20&#3591;&#3610;&#3611;&#3637;70-ePB/A9--&#3623;&#3633;&#3626;&#3604;&#3640;&#3588;&#3629;&#3617;&#3614;&#3636;&#3623;&#3648;&#3605;&#3629;&#3619;&#3660;%20&#3611;&#3637;70.xlsx" TargetMode="External"/><Relationship Id="rId18" Type="http://schemas.openxmlformats.org/officeDocument/2006/relationships/hyperlink" Target="../../../../../../../panorp_bot_or_th/Documents/&#3613;&#3619;&#3616;/7%20&#3591;&#3611;&#3617;/&#3611;&#3637;%2069/5%20&#3591;&#3610;&#3611;&#3637;%2070/working%20&#3591;&#3610;&#3611;&#3637;70-ePB/A14--&#3588;&#3656;&#3634;&#3608;&#3619;&#3619;&#3617;&#3648;&#3609;&#3637;&#3618;&#3617;&#3629;&#3639;&#3656;&#3609;%20&#3611;&#3637;70.xlsx" TargetMode="External"/><Relationship Id="rId26" Type="http://schemas.openxmlformats.org/officeDocument/2006/relationships/hyperlink" Target="../../../../../../../panorp_bot_or_th/Documents/&#3613;&#3619;&#3616;/7%20&#3591;&#3611;&#3617;/&#3611;&#3637;%2069/5%20&#3591;&#3610;&#3611;&#3637;%2070/working%20&#3591;&#3610;&#3611;&#3637;70-ePB/B5--&#3649;&#3610;&#3610;&#3586;&#3629;&#3591;&#3610;&#3588;&#3619;&#3640;&#3616;&#3633;&#3603;&#3601;&#3660;--UVSS.doc" TargetMode="External"/><Relationship Id="rId39" Type="http://schemas.openxmlformats.org/officeDocument/2006/relationships/hyperlink" Target="../../../../../../../panorp_bot_or_th/Documents/&#3613;&#3619;&#3616;/7%20&#3591;&#3611;&#3617;/&#3611;&#3637;%2069/5%20&#3591;&#3610;&#3611;&#3637;%2070/working%20&#3591;&#3610;&#3611;&#3637;70-ePB/B22--&#3649;&#3610;&#3610;&#3588;&#3635;&#3586;&#3629;&#3591;&#3610;&#3588;&#3619;&#3640;&#3616;&#3633;&#3603;&#3601;&#3660;--&#3605;&#3641;&#3657;&#3609;&#3636;&#3619;&#3616;&#3633;&#3618;%20(&#3613;&#3634;&#3585;&#3629;&#3634;&#3623;&#3640;&#3608;&#3611;&#3639;&#3609;%20&#3611;&#3619;&#3632;&#3592;&#3635;%20&#3626;&#3609;&#3597;.).docx" TargetMode="External"/><Relationship Id="rId21" Type="http://schemas.openxmlformats.org/officeDocument/2006/relationships/hyperlink" Target="../../../../../../../panorp_bot_or_th/Documents/&#3613;&#3619;&#3616;/7%20&#3591;&#3611;&#3617;/&#3611;&#3637;%2069/5%20&#3591;&#3610;&#3611;&#3637;%2070/working%20&#3591;&#3610;&#3611;&#3637;70-ePB/A15-2--&#3650;&#3611;&#3619;&#3649;&#3585;&#3619;&#3617;%20&#3613;&#3607;&#3626;%20&#3626;&#3656;&#3623;&#3609;&#3585;&#3621;&#3634;&#3591;%20&#3611;&#3637;70.xlsx" TargetMode="External"/><Relationship Id="rId34" Type="http://schemas.openxmlformats.org/officeDocument/2006/relationships/hyperlink" Target="../../../../../../../panorp_bot_or_th/Documents/&#3613;&#3619;&#3616;/7%20&#3591;&#3611;&#3617;/&#3611;&#3637;%2069/5%20&#3591;&#3610;&#3611;&#3637;%2070/working%20&#3591;&#3610;&#3611;&#3637;70-ePB/B16--&#3649;&#3610;&#3610;&#3586;&#3629;&#3591;&#3610;&#3588;&#3619;&#3640;&#3616;&#3633;&#3603;&#3601;&#3660;%20--&#3648;&#3588;&#3619;&#3639;&#3656;&#3629;&#3591;&#3614;&#3636;&#3617;&#3614;&#3660;&#3629;&#3656;&#3634;&#3609;&#3610;&#3633;&#3605;&#3619;&#3611;&#3594;&#3594;..docx" TargetMode="External"/><Relationship Id="rId42" Type="http://schemas.openxmlformats.org/officeDocument/2006/relationships/hyperlink" Target="../../../../../../../panorp_bot_or_th/Documents/&#3613;&#3619;&#3616;/7%20&#3591;&#3611;&#3617;/&#3611;&#3637;%2069/5%20&#3591;&#3610;&#3611;&#3637;%2070/working%20&#3591;&#3610;&#3611;&#3637;70-ePB/B25--&#3649;&#3610;&#3610;&#3586;&#3629;&#3591;&#3610;&#3588;&#3619;&#3640;&#3616;&#3633;&#3603;&#3601;&#3660;--&#3648;&#3585;&#3657;&#3634;&#3629;&#3637;&#3657;&#3627;&#3657;&#3629;&#3591;&#3588;&#3623;&#3610;&#3588;&#3640;&#3617;%20&#3619;&#3611;&#3616;.docx" TargetMode="External"/><Relationship Id="rId7" Type="http://schemas.openxmlformats.org/officeDocument/2006/relationships/hyperlink" Target="../../../../../../../panorp_bot_or_th/Documents/&#3613;&#3619;&#3616;/7%20&#3591;&#3611;&#3617;/&#3611;&#3637;%2069/5%20&#3591;&#3610;&#3611;&#3637;%2070/working%20&#3591;&#3610;&#3611;&#3637;70-ePB/A4---&#3626;&#3588;&#3626;%20&#3611;&#3637;70.xlsx" TargetMode="External"/><Relationship Id="rId2" Type="http://schemas.openxmlformats.org/officeDocument/2006/relationships/hyperlink" Target="../../../../../../../panorp_bot_or_th/Documents/&#3613;&#3619;&#3616;/7%20&#3591;&#3611;&#3617;/&#3611;&#3637;%2069/5%20&#3591;&#3610;&#3611;&#3637;%2070/working%20&#3591;&#3610;&#3611;&#3637;70-ePB/B8--&#3649;&#3610;&#3610;&#3586;&#3629;&#3591;&#3610;&#3588;&#3619;&#3640;&#3616;&#3633;&#3603;&#3601;&#3660;--CCTV-FIXED&amp;PTZ.doc" TargetMode="External"/><Relationship Id="rId16" Type="http://schemas.openxmlformats.org/officeDocument/2006/relationships/hyperlink" Target="../../../../../../../panorp_bot_or_th/Documents/&#3613;&#3619;&#3616;/7%20&#3591;&#3611;&#3617;/&#3611;&#3637;%2069/5%20&#3591;&#3610;&#3611;&#3637;%2070/working%20&#3591;&#3610;&#3611;&#3637;70-ePB/A12--&#3588;&#3656;&#3634;&#3619;&#3633;&#3610;&#3619;&#3629;&#3591;%20&#3611;&#3637;70.xlsx" TargetMode="External"/><Relationship Id="rId29" Type="http://schemas.openxmlformats.org/officeDocument/2006/relationships/hyperlink" Target="../../../../../../../panorp_bot_or_th/Documents/&#3613;&#3619;&#3616;/7%20&#3591;&#3611;&#3617;/&#3611;&#3637;%2069/5%20&#3591;&#3610;&#3611;&#3637;%2070/working%20&#3591;&#3610;&#3611;&#3637;70-ePB/B9--&#3649;&#3610;&#3610;&#3586;&#3629;&#3591;&#3610;&#3588;&#3619;&#3640;&#3616;&#3633;&#3603;&#3601;&#3660;--Body%20Camera%20&#3594;&#3609;&#3636;&#3604;%20Live%20Stream.docx" TargetMode="External"/><Relationship Id="rId1" Type="http://schemas.openxmlformats.org/officeDocument/2006/relationships/hyperlink" Target="file:///C:\&#3611;&#3637;%2068\7%20&#3591;&#3610;&#3611;&#3637;%2069\working%20&#3605;&#3633;&#3657;&#3591;&#3591;&#3610;&#3611;&#3637;69%20-%20final\&#3588;&#3619;&#3640;&#3616;&#3633;&#3603;&#3601;&#3660;\C2--%20&#3649;&#3610;&#3610;&#3586;&#3629;&#3591;&#3610;&#3588;&#3619;&#3640;&#3616;&#3633;&#3603;&#3601;&#3660;--%20&#3585;&#3621;&#3657;&#3629;&#3591;%20CCTV%20PTZ%20&#3626;&#3609;&#3597;%20&#3626;&#3635;&#3619;&#3629;&#3591;&#3585;&#3634;&#3619;&#3651;&#3594;&#3657;&#3591;&#3634;&#3609;.docx" TargetMode="External"/><Relationship Id="rId6" Type="http://schemas.openxmlformats.org/officeDocument/2006/relationships/hyperlink" Target="../../../../../../../panorp_bot_or_th/Documents/&#3613;&#3619;&#3616;/7%20&#3591;&#3611;&#3617;/&#3611;&#3637;%2069/5%20&#3591;&#3610;&#3611;&#3637;%2070/working%20&#3591;&#3610;&#3611;&#3637;70-ePB/A3-1-&#3648;&#3626;&#3639;&#3657;&#3629;&#3612;&#3657;&#3634;%20&#3611;&#3637;70.xlsx" TargetMode="External"/><Relationship Id="rId11" Type="http://schemas.openxmlformats.org/officeDocument/2006/relationships/hyperlink" Target="../../../../../../../panorp_bot_or_th/Documents/&#3613;&#3619;&#3616;/7%20&#3591;&#3611;&#3617;/&#3611;&#3637;%2069/5%20&#3591;&#3610;&#3611;&#3637;%2070/working%20&#3591;&#3610;&#3611;&#3637;70-ePB/A7-1--&#3588;&#3656;&#3634;&#3592;&#3657;&#3634;&#3591;&#3649;&#3619;&#3591;&#3591;&#3634;&#3609;&#3607;&#3635;&#3586;&#3629;&#3591;%20&#3611;&#3637;70.xlsx" TargetMode="External"/><Relationship Id="rId24" Type="http://schemas.openxmlformats.org/officeDocument/2006/relationships/hyperlink" Target="../../../../../../../panorp_bot_or_th/Documents/&#3613;&#3619;&#3616;/7%20&#3591;&#3611;&#3617;/&#3611;&#3637;%2069/5%20&#3591;&#3610;&#3611;&#3637;%2070/working%20&#3591;&#3610;&#3611;&#3637;70-ePB/B3--&#3649;&#3610;&#3610;&#3586;&#3629;&#3591;&#3610;&#3588;&#3619;&#3640;&#3616;&#3633;&#3603;&#3601;&#3660;%20--&#3619;&#3606;&#3586;&#3609;&#3626;&#3656;&#3591;(&#3619;&#3606;&#3611;&#3619;&#3632;&#3605;&#3641;2&#3604;&#3657;&#3634;&#3609;+&#3629;&#3640;&#3611;&#3585;&#3619;&#3603;&#3660;).docx" TargetMode="External"/><Relationship Id="rId32" Type="http://schemas.openxmlformats.org/officeDocument/2006/relationships/hyperlink" Target="../../../../../../../panorp_bot_or_th/Documents/&#3613;&#3619;&#3616;/7%20&#3591;&#3611;&#3617;/&#3611;&#3637;%2069/5%20&#3591;&#3610;&#3611;&#3637;%2070/working%20&#3591;&#3610;&#3611;&#3637;70-ePB/B13--&#3649;&#3610;&#3610;&#3586;&#3629;&#3591;&#3610;&#3588;&#3619;&#3640;&#3616;&#3633;&#3603;&#3601;&#3660;--&#3648;&#3588;&#3619;&#3639;&#3656;&#3629;&#3591;&#3648;&#3629;&#3585;&#3595;&#3648;&#3619;&#3618;&#3660;%20&#3629;&#3634;&#3588;&#3634;&#3619;7.doc" TargetMode="External"/><Relationship Id="rId37" Type="http://schemas.openxmlformats.org/officeDocument/2006/relationships/hyperlink" Target="../../../../../../../panorp_bot_or_th/Documents/&#3613;&#3619;&#3616;/7%20&#3591;&#3611;&#3617;/&#3611;&#3637;%2069/5%20&#3591;&#3610;&#3611;&#3637;%2070/working%20&#3591;&#3610;&#3611;&#3637;70-ePB/B20--&#3649;&#3610;&#3610;&#3588;&#3635;&#3586;&#3629;&#3591;&#3610;&#3588;&#3619;&#3640;&#3616;&#3633;&#3603;&#3601;&#3660;--&#3605;&#3641;&#3657;&#3609;&#3636;&#3619;&#3616;&#3633;&#3618;.docx" TargetMode="External"/><Relationship Id="rId40" Type="http://schemas.openxmlformats.org/officeDocument/2006/relationships/hyperlink" Target="../../../../../../../panorp_bot_or_th/Documents/&#3613;&#3619;&#3616;/7%20&#3591;&#3611;&#3617;/&#3611;&#3637;%2069/5%20&#3591;&#3610;&#3611;&#3637;%2070/working%20&#3591;&#3610;&#3611;&#3637;70-ePB/B23--&#3649;&#3610;&#3610;&#3586;&#3629;&#3591;&#3610;&#3588;&#3619;&#3640;&#3616;&#3633;&#3603;&#3601;&#3660;--&#3648;&#3588;&#3619;&#3639;&#3656;&#3629;&#3591;&#3629;&#3633;&#3604;&#3629;&#3634;&#3585;&#3634;&#3624;.docx" TargetMode="External"/><Relationship Id="rId45" Type="http://schemas.openxmlformats.org/officeDocument/2006/relationships/vmlDrawing" Target="../drawings/vmlDrawing3.vml"/><Relationship Id="rId5" Type="http://schemas.openxmlformats.org/officeDocument/2006/relationships/hyperlink" Target="../../../../../../../panorp_bot_or_th/Documents/&#3613;&#3619;&#3616;/7%20&#3591;&#3611;&#3617;/&#3611;&#3637;%2069/5%20&#3591;&#3610;&#3611;&#3637;%2070/working%20&#3591;&#3610;&#3611;&#3637;70-ePB/A2---&#3648;&#3591;&#3636;&#3609;&#3594;&#3656;&#3623;&#3618;&#3648;&#3627;&#3621;&#3639;&#3629;&#3629;&#3639;&#3656;&#3609;-&#3611;&#3599;&#3636;&#3610;&#3633;&#3605;&#3636;&#3591;&#3634;&#3609;&#3605;&#3656;&#3634;&#3591;%20&#3626;&#3609;&#3591;%20&#3611;&#3637;70.xlsx" TargetMode="External"/><Relationship Id="rId15" Type="http://schemas.openxmlformats.org/officeDocument/2006/relationships/hyperlink" Target="../../../../../../../panorp_bot_or_th/Documents/&#3613;&#3619;&#3616;/7%20&#3591;&#3611;&#3617;/&#3611;&#3637;%2069/5%20&#3591;&#3610;&#3611;&#3637;%2070/working%20&#3591;&#3610;&#3611;&#3637;70-ePB/A11--&#3588;&#3656;&#3634;&#3651;&#3594;&#3657;&#3592;&#3656;&#3634;&#3618;&#3651;&#3609;&#3585;&#3634;&#3619;&#3592;&#3633;&#3604;&#3591;&#3634;&#3609;&#3631;%20&#3611;&#3637;70.xlsx" TargetMode="External"/><Relationship Id="rId23" Type="http://schemas.openxmlformats.org/officeDocument/2006/relationships/hyperlink" Target="../../../../../../../panorp_bot_or_th/Documents/&#3613;&#3619;&#3616;/7%20&#3591;&#3611;&#3617;/&#3611;&#3637;%2069/5%20&#3591;&#3610;&#3611;&#3637;%2070/working%20&#3591;&#3610;&#3611;&#3637;70-ePB/A3-2-&#3588;&#3656;&#3634;&#3648;&#3594;&#3656;&#3634;&#3594;&#3640;&#3604;&#3626;&#3641;&#3607;%20&#3611;&#3637;70.xlsx" TargetMode="External"/><Relationship Id="rId28" Type="http://schemas.openxmlformats.org/officeDocument/2006/relationships/hyperlink" Target="../../../../../../../panorp_bot_or_th/Documents/&#3613;&#3619;&#3616;/7%20&#3591;&#3611;&#3617;/&#3611;&#3637;%2069/5%20&#3591;&#3610;&#3611;&#3637;%2070/working%20&#3591;&#3610;&#3611;&#3637;70-ePB/B7--&#3649;&#3610;&#3610;&#3586;&#3629;&#3591;&#3610;&#3588;&#3619;&#3640;&#3616;&#3633;&#3603;&#3601;&#3660;%20--&#3585;&#3621;&#3657;&#3629;&#3591;&#3627;&#3609;&#3657;&#3634;&#3619;&#3606;&#3618;&#3609;&#3605;&#3660;.docx" TargetMode="External"/><Relationship Id="rId36" Type="http://schemas.openxmlformats.org/officeDocument/2006/relationships/hyperlink" Target="../../../../../../../panorp_bot_or_th/Documents/&#3613;&#3619;&#3616;/7%20&#3591;&#3611;&#3617;/&#3611;&#3637;%2069/5%20&#3591;&#3610;&#3611;&#3637;%2070/working%20&#3591;&#3610;&#3611;&#3637;70-ePB/B19--&#3649;&#3610;&#3610;&#3588;&#3635;&#3586;&#3629;&#3591;&#3610;&#3588;&#3619;&#3640;&#3616;&#3633;&#3603;&#3601;&#3660;--&#3611;&#3639;&#3609;&#3652;&#3615;&#3615;&#3657;&#3634;%20(Taser%20Gun).docx" TargetMode="External"/><Relationship Id="rId10" Type="http://schemas.openxmlformats.org/officeDocument/2006/relationships/hyperlink" Target="../../../../../../../panorp_bot_or_th/Documents/&#3613;&#3619;&#3616;/7%20&#3591;&#3611;&#3617;/&#3611;&#3637;%2069/5%20&#3591;&#3610;&#3611;&#3637;%2070/working%20&#3591;&#3610;&#3611;&#3637;70-ePB/A6-2-&#3626;&#3619;&#3640;&#3611;&#3588;&#3656;&#3634;&#3592;&#3657;&#3634;OS-&#3611;&#3637;70.xlsx" TargetMode="External"/><Relationship Id="rId19" Type="http://schemas.openxmlformats.org/officeDocument/2006/relationships/hyperlink" Target="../../../../../../../panorp_bot_or_th/Documents/&#3613;&#3619;&#3616;/7%20&#3591;&#3611;&#3617;/&#3611;&#3637;%2069/5%20&#3591;&#3610;&#3611;&#3637;%2070/working%20&#3591;&#3610;&#3611;&#3637;70-ePB/A16--&#3588;&#3594;&#3592;%20&#3626;&#3639;&#3610;&#3626;&#3623;&#3609;%20&#3611;&#3637;70.xlsx" TargetMode="External"/><Relationship Id="rId31" Type="http://schemas.openxmlformats.org/officeDocument/2006/relationships/hyperlink" Target="../../../../../../../panorp_bot_or_th/Documents/&#3613;&#3619;&#3616;/7%20&#3591;&#3611;&#3617;/&#3611;&#3637;%2069/5%20&#3591;&#3610;&#3611;&#3637;%2070/working%20&#3591;&#3610;&#3611;&#3637;70-ePB/B12--&#3649;&#3610;&#3610;&#3586;&#3629;&#3591;&#3610;&#3588;&#3619;&#3640;&#3616;&#3633;&#3603;&#3601;&#3660;--beamdetector.doc" TargetMode="External"/><Relationship Id="rId44" Type="http://schemas.openxmlformats.org/officeDocument/2006/relationships/drawing" Target="../drawings/drawing3.xml"/><Relationship Id="rId4" Type="http://schemas.openxmlformats.org/officeDocument/2006/relationships/hyperlink" Target="../../../../../../../panorp_bot_or_th/Documents/&#3613;&#3619;&#3616;/7%20&#3591;&#3611;&#3617;/&#3611;&#3637;%2069/5%20&#3591;&#3610;&#3611;&#3637;%2070/working%20&#3591;&#3610;&#3611;&#3637;70-ePB/A1-1-&#3588;&#3656;&#3634;&#3621;&#3656;&#3623;&#3591;&#3648;&#3623;&#3621;&#3634;%20&#3611;&#3637;70.xlsx" TargetMode="External"/><Relationship Id="rId9" Type="http://schemas.openxmlformats.org/officeDocument/2006/relationships/hyperlink" Target="../../../../../../../panorp_bot_or_th/Documents/&#3613;&#3619;&#3616;/7%20&#3591;&#3611;&#3617;/&#3611;&#3637;%2069/5%20&#3591;&#3610;&#3611;&#3637;%2070/working%20&#3591;&#3610;&#3611;&#3637;70-ePB/A6-1-&#3626;&#3619;&#3640;&#3611;&#3588;&#3656;&#3634;&#3592;&#3657;&#3634;OS-&#3611;&#3637;69.xlsx" TargetMode="External"/><Relationship Id="rId14" Type="http://schemas.openxmlformats.org/officeDocument/2006/relationships/hyperlink" Target="../../../../../../../panorp_bot_or_th/Documents/&#3613;&#3619;&#3616;/7%20&#3591;&#3611;&#3617;/&#3611;&#3637;%2069/5%20&#3591;&#3610;&#3611;&#3637;%2070/working%20&#3591;&#3610;&#3611;&#3637;70-ePB/A10--&#3588;&#3656;&#3634;&#3623;&#3633;&#3626;&#3604;&#3640;&#3607;&#3633;&#3656;&#3623;&#3652;&#3611;%20&#3611;&#3637;70.xlsx" TargetMode="External"/><Relationship Id="rId22" Type="http://schemas.openxmlformats.org/officeDocument/2006/relationships/hyperlink" Target="../../../../../../../panorp_bot_or_th/Documents/&#3613;&#3619;&#3616;/7%20&#3591;&#3611;&#3617;/&#3611;&#3637;%2069/5%20&#3591;&#3610;&#3611;&#3637;%2070/working%20&#3591;&#3610;&#3611;&#3637;70-ePB/A7-2--&#3588;&#3656;&#3634;&#3605;&#3629;&#3610;&#3649;&#3607;&#3609;&#3610;&#3640;&#3588;&#3588;&#3621;&#3616;&#3634;&#3618;&#3609;&#3629;&#3585;%20&#3611;&#3637;70.xlsx" TargetMode="External"/><Relationship Id="rId27" Type="http://schemas.openxmlformats.org/officeDocument/2006/relationships/hyperlink" Target="../../../../../../../panorp_bot_or_th/Documents/&#3613;&#3619;&#3616;/7%20&#3591;&#3611;&#3617;/&#3611;&#3637;%2069/5%20&#3591;&#3610;&#3611;&#3637;%2070/working%20&#3591;&#3610;&#3611;&#3637;70-ePB/B6---&#3649;&#3610;&#3610;&#3586;&#3629;&#3588;&#3619;&#3640;&#3616;&#3633;&#3603;&#3601;&#3660;--&#3629;&#3640;&#3611;&#3585;&#3619;&#3603;&#3660;&#3648;&#3588;&#3621;&#3639;&#3656;&#3629;&#3609;&#3618;&#3657;&#3634;&#3618;&#3619;&#3606;&#3618;&#3609;&#3605;&#3660;.docx" TargetMode="External"/><Relationship Id="rId30" Type="http://schemas.openxmlformats.org/officeDocument/2006/relationships/hyperlink" Target="../../../../../../../panorp_bot_or_th/Documents/&#3613;&#3619;&#3616;/7%20&#3591;&#3611;&#3617;/&#3611;&#3637;%2069/5%20&#3591;&#3610;&#3611;&#3637;%2070/working%20&#3591;&#3610;&#3611;&#3637;70-ePB/B10--&#3649;&#3610;&#3610;&#3586;&#3629;&#3591;&#3610;&#3588;&#3619;&#3640;&#3616;&#3633;&#3603;&#3601;&#3660;--&#3585;&#3621;&#3657;&#3629;&#3591;%20Thermal%20(&#3592;&#3640;&#3604;&#3594;&#3634;&#3619;&#3660;&#3592;%20EV).docx" TargetMode="External"/><Relationship Id="rId35" Type="http://schemas.openxmlformats.org/officeDocument/2006/relationships/hyperlink" Target="../../../../../../../panorp_bot_or_th/Documents/&#3613;&#3619;&#3616;/7%20&#3591;&#3611;&#3617;/&#3611;&#3637;%2069/5%20&#3591;&#3610;&#3611;&#3637;%2070/working%20&#3591;&#3610;&#3611;&#3637;70-ePB/B17--&#3649;&#3610;&#3610;&#3586;&#3629;&#3591;&#3610;&#3588;&#3619;&#3640;&#3616;&#3633;&#3603;&#3601;&#3660;%20--&#3648;&#3588;&#3619;&#3639;&#3656;&#3629;&#3591;&#3606;&#3656;&#3634;&#3618;&#3610;&#3633;&#3605;&#3619;&#3611;&#3594;&#3594;%20.docx" TargetMode="External"/><Relationship Id="rId43" Type="http://schemas.openxmlformats.org/officeDocument/2006/relationships/printerSettings" Target="../printerSettings/printerSettings3.bin"/><Relationship Id="rId8" Type="http://schemas.openxmlformats.org/officeDocument/2006/relationships/hyperlink" Target="../../../../../../../panorp_bot_or_th/Documents/&#3613;&#3619;&#3616;/7%20&#3591;&#3611;&#3617;/&#3611;&#3637;%2069/5%20&#3591;&#3610;&#3611;&#3637;%2070/working%20&#3591;&#3610;&#3611;&#3637;70-ePB/A5---&#3588;&#3656;&#3634;&#3613;&#3638;&#3585;&#3629;&#3610;&#3619;&#3617;%20&#3611;&#3637;70.xlsx" TargetMode="External"/><Relationship Id="rId3" Type="http://schemas.openxmlformats.org/officeDocument/2006/relationships/hyperlink" Target="../../../../../../../panorp_bot_or_th/Documents/&#3613;&#3619;&#3616;/7%20&#3591;&#3611;&#3617;/&#3611;&#3637;%2069/5%20&#3591;&#3610;&#3611;&#3637;%2070/working%20&#3591;&#3610;&#3611;&#3637;70-ePB/A1-2-&#3648;&#3591;&#3636;&#3609;&#3594;&#3656;&#3623;&#3618;&#3648;&#3627;&#3621;&#3639;&#3629;&#3614;&#3636;&#3648;&#3624;&#3625;-&#3588;&#3656;&#3634;&#3648;&#3586;&#3657;&#3634;&#3648;&#3623;&#3619;%20&#3611;&#3637;70.xlsx" TargetMode="External"/><Relationship Id="rId12" Type="http://schemas.openxmlformats.org/officeDocument/2006/relationships/hyperlink" Target="../../../../../../../panorp_bot_or_th/Documents/&#3613;&#3619;&#3616;/7%20&#3591;&#3611;&#3617;/&#3611;&#3637;%2069/5%20&#3591;&#3610;&#3611;&#3637;%2070/working%20&#3591;&#3610;&#3611;&#3637;70-ePB/A8--&#3588;&#3656;&#3634;&#3595;&#3656;&#3629;&#3617;&#3610;&#3635;&#3619;&#3640;&#3591;&#3619;&#3632;&#3610;&#3610;%20&#3611;&#3637;70.xlsx" TargetMode="External"/><Relationship Id="rId17" Type="http://schemas.openxmlformats.org/officeDocument/2006/relationships/hyperlink" Target="../../../../../../../panorp_bot_or_th/Documents/&#3613;&#3619;&#3616;/7%20&#3591;&#3611;&#3617;/&#3611;&#3637;%2069/5%20&#3591;&#3610;&#3611;&#3637;%2070/working%20&#3591;&#3610;&#3611;&#3637;70-ePB/A13--&#3588;&#3594;&#3592;%20&#3648;&#3604;&#3636;&#3609;&#3607;&#3634;&#3591;&#3651;&#3609;&#3611;&#3619;&#3632;&#3648;&#3607;&#3624;%20&#3611;&#3637;70.xlsx" TargetMode="External"/><Relationship Id="rId25" Type="http://schemas.openxmlformats.org/officeDocument/2006/relationships/hyperlink" Target="../../../../../../../panorp_bot_or_th/Documents/&#3613;&#3619;&#3616;/7%20&#3591;&#3611;&#3617;/&#3611;&#3637;%2069/5%20&#3591;&#3610;&#3611;&#3637;%2070/working%20&#3591;&#3610;&#3611;&#3637;70-ePB/B4--&#3649;&#3610;&#3610;&#3586;&#3629;&#3591;&#3610;&#3588;&#3619;&#3640;&#3616;&#3633;&#3603;&#3601;&#3660;%20--&#3619;&#3606;&#3586;&#3609;&#3626;&#3656;&#3591;(SUV+&#3629;&#3640;&#3611;&#3585;&#3619;&#3603;&#3660;).docx" TargetMode="External"/><Relationship Id="rId33" Type="http://schemas.openxmlformats.org/officeDocument/2006/relationships/hyperlink" Target="../../../../../../../panorp_bot_or_th/Documents/&#3613;&#3619;&#3616;/7%20&#3591;&#3611;&#3617;/&#3611;&#3637;%2069/5%20&#3591;&#3610;&#3611;&#3637;%2070/working%20&#3591;&#3610;&#3611;&#3637;70-ePB/B15--&#3649;&#3610;&#3610;&#3586;&#3629;&#3591;&#3610;&#3588;&#3619;&#3640;&#3616;&#3633;&#3603;&#3601;&#3660;--cardreader.doc" TargetMode="External"/><Relationship Id="rId38" Type="http://schemas.openxmlformats.org/officeDocument/2006/relationships/hyperlink" Target="../../../../../../../panorp_bot_or_th/Documents/&#3613;&#3619;&#3616;/7%20&#3591;&#3611;&#3617;/&#3611;&#3637;%2069/5%20&#3591;&#3610;&#3611;&#3637;%2070/working%20&#3591;&#3610;&#3611;&#3637;70-ePB/B21--&#3649;&#3610;&#3610;&#3586;&#3629;&#3591;&#3610;&#3588;&#3619;&#3640;&#3616;&#3633;&#3603;&#3601;&#3660;--&#3648;&#3588;&#3619;&#3639;&#3656;&#3629;&#3591;&#3588;&#3629;&#3617;&#3614;&#3636;&#3623;&#3648;&#3605;&#3629;&#3619;&#3660;%20NoteBook.docx" TargetMode="External"/><Relationship Id="rId46" Type="http://schemas.openxmlformats.org/officeDocument/2006/relationships/comments" Target="../comments3.xml"/><Relationship Id="rId20" Type="http://schemas.openxmlformats.org/officeDocument/2006/relationships/hyperlink" Target="../../../../../../../panorp_bot_or_th/Documents/&#3613;&#3619;&#3616;/7%20&#3591;&#3611;&#3617;/&#3611;&#3637;%2069/5%20&#3591;&#3610;&#3611;&#3637;%2070/working%20&#3591;&#3610;&#3611;&#3637;70-ePB/A15-1--&#3650;&#3611;&#3619;&#3649;&#3585;&#3619;&#3617;%20&#3613;&#3607;&#3626;%20&#3626;&#3656;&#3623;&#3609;&#3591;&#3634;&#3609;%20&#3611;&#3637;70.xlsx" TargetMode="External"/><Relationship Id="rId41" Type="http://schemas.openxmlformats.org/officeDocument/2006/relationships/hyperlink" Target="../../../../../../../panorp_bot_or_th/Documents/&#3613;&#3619;&#3616;/7%20&#3591;&#3611;&#3617;/&#3611;&#3637;%2069/5%20&#3591;&#3610;&#3611;&#3637;%2070/working%20&#3591;&#3610;&#3611;&#3637;70-ePB/B24--&#3649;&#3610;&#3610;&#3586;&#3629;&#3591;&#3610;&#3588;&#3619;&#3640;&#3616;&#3633;&#3603;&#3601;&#3660;--&#3594;&#3640;&#3604;&#3594;&#3656;&#3623;&#3618;&#3627;&#3634;&#3618;&#3651;&#3592;%20SCBA.docx"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panorp_bot_or_th/Documents/&#3613;&#3619;&#3616;/7%20&#3591;&#3611;&#3617;/&#3611;&#3637;%2069/5%20&#3591;&#3610;&#3611;&#3637;%2070/working%20&#3591;&#3610;&#3611;&#3637;70-ePB/A9--&#3623;&#3633;&#3626;&#3604;&#3640;&#3588;&#3629;&#3617;&#3614;&#3636;&#3623;&#3648;&#3605;&#3629;&#3619;&#3660;%20&#3611;&#3637;70.xlsx" TargetMode="External"/><Relationship Id="rId18" Type="http://schemas.openxmlformats.org/officeDocument/2006/relationships/hyperlink" Target="../../../../../../../panorp_bot_or_th/Documents/&#3613;&#3619;&#3616;/7%20&#3591;&#3611;&#3617;/&#3611;&#3637;%2069/5%20&#3591;&#3610;&#3611;&#3637;%2070/working%20&#3591;&#3610;&#3611;&#3637;70-ePB/A14--&#3588;&#3656;&#3634;&#3608;&#3619;&#3619;&#3617;&#3648;&#3609;&#3637;&#3618;&#3617;&#3629;&#3639;&#3656;&#3609;%20&#3611;&#3637;70.xlsx" TargetMode="External"/><Relationship Id="rId26" Type="http://schemas.openxmlformats.org/officeDocument/2006/relationships/hyperlink" Target="../../../../../../../panorp_bot_or_th/Documents/&#3613;&#3619;&#3616;/7%20&#3591;&#3611;&#3617;/&#3611;&#3637;%2069/5%20&#3591;&#3610;&#3611;&#3637;%2070/working%20&#3591;&#3610;&#3611;&#3637;70-ePB/B5--&#3649;&#3610;&#3610;&#3586;&#3629;&#3591;&#3610;&#3588;&#3619;&#3640;&#3616;&#3633;&#3603;&#3601;&#3660;--UVSS.doc" TargetMode="External"/><Relationship Id="rId39" Type="http://schemas.openxmlformats.org/officeDocument/2006/relationships/hyperlink" Target="../../../../../../../panorp_bot_or_th/Documents/&#3613;&#3619;&#3616;/7%20&#3591;&#3611;&#3617;/&#3611;&#3637;%2069/5%20&#3591;&#3610;&#3611;&#3637;%2070/working%20&#3591;&#3610;&#3611;&#3637;70-ePB/B22--&#3649;&#3610;&#3610;&#3588;&#3635;&#3586;&#3629;&#3591;&#3610;&#3588;&#3619;&#3640;&#3616;&#3633;&#3603;&#3601;&#3660;--&#3605;&#3641;&#3657;&#3609;&#3636;&#3619;&#3616;&#3633;&#3618;%20(&#3613;&#3634;&#3585;&#3629;&#3634;&#3623;&#3640;&#3608;&#3611;&#3639;&#3609;%20&#3611;&#3619;&#3632;&#3592;&#3635;%20&#3626;&#3609;&#3597;.).docx" TargetMode="External"/><Relationship Id="rId21" Type="http://schemas.openxmlformats.org/officeDocument/2006/relationships/hyperlink" Target="../../../../../../../panorp_bot_or_th/Documents/&#3613;&#3619;&#3616;/7%20&#3591;&#3611;&#3617;/&#3611;&#3637;%2069/5%20&#3591;&#3610;&#3611;&#3637;%2070/working%20&#3591;&#3610;&#3611;&#3637;70-ePB/A15-2--&#3650;&#3611;&#3619;&#3649;&#3585;&#3619;&#3617;%20&#3613;&#3607;&#3626;%20&#3626;&#3656;&#3623;&#3609;&#3585;&#3621;&#3634;&#3591;%20&#3611;&#3637;70.xlsx" TargetMode="External"/><Relationship Id="rId34" Type="http://schemas.openxmlformats.org/officeDocument/2006/relationships/hyperlink" Target="../../../../../../../panorp_bot_or_th/Documents/&#3613;&#3619;&#3616;/7%20&#3591;&#3611;&#3617;/&#3611;&#3637;%2069/5%20&#3591;&#3610;&#3611;&#3637;%2070/working%20&#3591;&#3610;&#3611;&#3637;70-ePB/B16--&#3649;&#3610;&#3610;&#3586;&#3629;&#3591;&#3610;&#3588;&#3619;&#3640;&#3616;&#3633;&#3603;&#3601;&#3660;%20--&#3648;&#3588;&#3619;&#3639;&#3656;&#3629;&#3591;&#3614;&#3636;&#3617;&#3614;&#3660;&#3629;&#3656;&#3634;&#3609;&#3610;&#3633;&#3605;&#3619;&#3611;&#3594;&#3594;..docx" TargetMode="External"/><Relationship Id="rId42" Type="http://schemas.openxmlformats.org/officeDocument/2006/relationships/hyperlink" Target="../../../../../../../panorp_bot_or_th/Documents/&#3613;&#3619;&#3616;/7%20&#3591;&#3611;&#3617;/&#3611;&#3637;%2069/5%20&#3591;&#3610;&#3611;&#3637;%2070/working%20&#3591;&#3610;&#3611;&#3637;70-ePB/B25--&#3649;&#3610;&#3610;&#3586;&#3629;&#3591;&#3610;&#3588;&#3619;&#3640;&#3616;&#3633;&#3603;&#3601;&#3660;--&#3648;&#3585;&#3657;&#3634;&#3629;&#3637;&#3657;&#3627;&#3657;&#3629;&#3591;&#3588;&#3623;&#3610;&#3588;&#3640;&#3617;%20&#3619;&#3611;&#3616;.docx" TargetMode="External"/><Relationship Id="rId7" Type="http://schemas.openxmlformats.org/officeDocument/2006/relationships/hyperlink" Target="../../../../../../../panorp_bot_or_th/Documents/&#3613;&#3619;&#3616;/7%20&#3591;&#3611;&#3617;/&#3611;&#3637;%2069/5%20&#3591;&#3610;&#3611;&#3637;%2070/working%20&#3591;&#3610;&#3611;&#3637;70-ePB/A4---&#3626;&#3588;&#3626;%20&#3611;&#3637;70.xlsx" TargetMode="External"/><Relationship Id="rId2" Type="http://schemas.openxmlformats.org/officeDocument/2006/relationships/hyperlink" Target="../../../../../../../panorp_bot_or_th/Documents/&#3613;&#3619;&#3616;/7%20&#3591;&#3611;&#3617;/&#3611;&#3637;%2069/5%20&#3591;&#3610;&#3611;&#3637;%2070/working%20&#3591;&#3610;&#3611;&#3637;70-ePB/B8--&#3649;&#3610;&#3610;&#3586;&#3629;&#3591;&#3610;&#3588;&#3619;&#3640;&#3616;&#3633;&#3603;&#3601;&#3660;--CCTV-FIXED&amp;PTZ.doc" TargetMode="External"/><Relationship Id="rId16" Type="http://schemas.openxmlformats.org/officeDocument/2006/relationships/hyperlink" Target="../../../../../../../panorp_bot_or_th/Documents/&#3613;&#3619;&#3616;/7%20&#3591;&#3611;&#3617;/&#3611;&#3637;%2069/5%20&#3591;&#3610;&#3611;&#3637;%2070/working%20&#3591;&#3610;&#3611;&#3637;70-ePB/A12--&#3588;&#3656;&#3634;&#3619;&#3633;&#3610;&#3619;&#3629;&#3591;%20&#3611;&#3637;70.xlsx" TargetMode="External"/><Relationship Id="rId29" Type="http://schemas.openxmlformats.org/officeDocument/2006/relationships/hyperlink" Target="../../../../../../../panorp_bot_or_th/Documents/&#3613;&#3619;&#3616;/7%20&#3591;&#3611;&#3617;/&#3611;&#3637;%2069/5%20&#3591;&#3610;&#3611;&#3637;%2070/working%20&#3591;&#3610;&#3611;&#3637;70-ePB/B9--&#3649;&#3610;&#3610;&#3586;&#3629;&#3591;&#3610;&#3588;&#3619;&#3640;&#3616;&#3633;&#3603;&#3601;&#3660;--Body%20Camera%20&#3594;&#3609;&#3636;&#3604;%20Live%20Stream.docx" TargetMode="External"/><Relationship Id="rId1" Type="http://schemas.openxmlformats.org/officeDocument/2006/relationships/hyperlink" Target="file:///C:\&#3611;&#3637;%2068\7%20&#3591;&#3610;&#3611;&#3637;%2069\working%20&#3605;&#3633;&#3657;&#3591;&#3591;&#3610;&#3611;&#3637;69%20-%20final\&#3588;&#3619;&#3640;&#3616;&#3633;&#3603;&#3601;&#3660;\C2--%20&#3649;&#3610;&#3610;&#3586;&#3629;&#3591;&#3610;&#3588;&#3619;&#3640;&#3616;&#3633;&#3603;&#3601;&#3660;--%20&#3585;&#3621;&#3657;&#3629;&#3591;%20CCTV%20PTZ%20&#3626;&#3609;&#3597;%20&#3626;&#3635;&#3619;&#3629;&#3591;&#3585;&#3634;&#3619;&#3651;&#3594;&#3657;&#3591;&#3634;&#3609;.docx" TargetMode="External"/><Relationship Id="rId6" Type="http://schemas.openxmlformats.org/officeDocument/2006/relationships/hyperlink" Target="../../../../../../../panorp_bot_or_th/Documents/&#3613;&#3619;&#3616;/7%20&#3591;&#3611;&#3617;/&#3611;&#3637;%2069/5%20&#3591;&#3610;&#3611;&#3637;%2070/working%20&#3591;&#3610;&#3611;&#3637;70-ePB/A3-1-&#3648;&#3626;&#3639;&#3657;&#3629;&#3612;&#3657;&#3634;%20&#3611;&#3637;70.xlsx" TargetMode="External"/><Relationship Id="rId11" Type="http://schemas.openxmlformats.org/officeDocument/2006/relationships/hyperlink" Target="../../../../../../../panorp_bot_or_th/Documents/&#3613;&#3619;&#3616;/7%20&#3591;&#3611;&#3617;/&#3611;&#3637;%2069/5%20&#3591;&#3610;&#3611;&#3637;%2070/working%20&#3591;&#3610;&#3611;&#3637;70-ePB/A7-1--&#3588;&#3656;&#3634;&#3592;&#3657;&#3634;&#3591;&#3649;&#3619;&#3591;&#3591;&#3634;&#3609;&#3607;&#3635;&#3586;&#3629;&#3591;%20&#3611;&#3637;70.xlsx" TargetMode="External"/><Relationship Id="rId24" Type="http://schemas.openxmlformats.org/officeDocument/2006/relationships/hyperlink" Target="../../../../../../../panorp_bot_or_th/Documents/&#3613;&#3619;&#3616;/7%20&#3591;&#3611;&#3617;/&#3611;&#3637;%2069/5%20&#3591;&#3610;&#3611;&#3637;%2070/working%20&#3591;&#3610;&#3611;&#3637;70-ePB/B3--&#3649;&#3610;&#3610;&#3586;&#3629;&#3591;&#3610;&#3588;&#3619;&#3640;&#3616;&#3633;&#3603;&#3601;&#3660;%20--&#3619;&#3606;&#3586;&#3609;&#3626;&#3656;&#3591;(&#3619;&#3606;&#3611;&#3619;&#3632;&#3605;&#3641;2&#3604;&#3657;&#3634;&#3609;+&#3629;&#3640;&#3611;&#3585;&#3619;&#3603;&#3660;).docx" TargetMode="External"/><Relationship Id="rId32" Type="http://schemas.openxmlformats.org/officeDocument/2006/relationships/hyperlink" Target="../../../../../../../panorp_bot_or_th/Documents/&#3613;&#3619;&#3616;/7%20&#3591;&#3611;&#3617;/&#3611;&#3637;%2069/5%20&#3591;&#3610;&#3611;&#3637;%2070/working%20&#3591;&#3610;&#3611;&#3637;70-ePB/B13--&#3649;&#3610;&#3610;&#3586;&#3629;&#3591;&#3610;&#3588;&#3619;&#3640;&#3616;&#3633;&#3603;&#3601;&#3660;--&#3648;&#3588;&#3619;&#3639;&#3656;&#3629;&#3591;&#3648;&#3629;&#3585;&#3595;&#3648;&#3619;&#3618;&#3660;%20&#3629;&#3634;&#3588;&#3634;&#3619;7.doc" TargetMode="External"/><Relationship Id="rId37" Type="http://schemas.openxmlformats.org/officeDocument/2006/relationships/hyperlink" Target="../../../../../../../panorp_bot_or_th/Documents/&#3613;&#3619;&#3616;/7%20&#3591;&#3611;&#3617;/&#3611;&#3637;%2069/5%20&#3591;&#3610;&#3611;&#3637;%2070/working%20&#3591;&#3610;&#3611;&#3637;70-ePB/B20--&#3649;&#3610;&#3610;&#3588;&#3635;&#3586;&#3629;&#3591;&#3610;&#3588;&#3619;&#3640;&#3616;&#3633;&#3603;&#3601;&#3660;--&#3605;&#3641;&#3657;&#3609;&#3636;&#3619;&#3616;&#3633;&#3618;.docx" TargetMode="External"/><Relationship Id="rId40" Type="http://schemas.openxmlformats.org/officeDocument/2006/relationships/hyperlink" Target="../../../../../../../panorp_bot_or_th/Documents/&#3613;&#3619;&#3616;/7%20&#3591;&#3611;&#3617;/&#3611;&#3637;%2069/5%20&#3591;&#3610;&#3611;&#3637;%2070/working%20&#3591;&#3610;&#3611;&#3637;70-ePB/B23--&#3649;&#3610;&#3610;&#3586;&#3629;&#3591;&#3610;&#3588;&#3619;&#3640;&#3616;&#3633;&#3603;&#3601;&#3660;--&#3648;&#3588;&#3619;&#3639;&#3656;&#3629;&#3591;&#3629;&#3633;&#3604;&#3629;&#3634;&#3585;&#3634;&#3624;.docx" TargetMode="External"/><Relationship Id="rId45" Type="http://schemas.openxmlformats.org/officeDocument/2006/relationships/vmlDrawing" Target="../drawings/vmlDrawing4.vml"/><Relationship Id="rId5" Type="http://schemas.openxmlformats.org/officeDocument/2006/relationships/hyperlink" Target="../../../../../../../panorp_bot_or_th/Documents/&#3613;&#3619;&#3616;/7%20&#3591;&#3611;&#3617;/&#3611;&#3637;%2069/5%20&#3591;&#3610;&#3611;&#3637;%2070/working%20&#3591;&#3610;&#3611;&#3637;70-ePB/A2---&#3648;&#3591;&#3636;&#3609;&#3594;&#3656;&#3623;&#3618;&#3648;&#3627;&#3621;&#3639;&#3629;&#3629;&#3639;&#3656;&#3609;-&#3611;&#3599;&#3636;&#3610;&#3633;&#3605;&#3636;&#3591;&#3634;&#3609;&#3605;&#3656;&#3634;&#3591;%20&#3626;&#3609;&#3591;%20&#3611;&#3637;70.xlsx" TargetMode="External"/><Relationship Id="rId15" Type="http://schemas.openxmlformats.org/officeDocument/2006/relationships/hyperlink" Target="../../../../../../../panorp_bot_or_th/Documents/&#3613;&#3619;&#3616;/7%20&#3591;&#3611;&#3617;/&#3611;&#3637;%2069/5%20&#3591;&#3610;&#3611;&#3637;%2070/working%20&#3591;&#3610;&#3611;&#3637;70-ePB/A11--&#3588;&#3656;&#3634;&#3651;&#3594;&#3657;&#3592;&#3656;&#3634;&#3618;&#3651;&#3609;&#3585;&#3634;&#3619;&#3592;&#3633;&#3604;&#3591;&#3634;&#3609;&#3631;%20&#3611;&#3637;70.xlsx" TargetMode="External"/><Relationship Id="rId23" Type="http://schemas.openxmlformats.org/officeDocument/2006/relationships/hyperlink" Target="../../../../../../../panorp_bot_or_th/Documents/&#3613;&#3619;&#3616;/7%20&#3591;&#3611;&#3617;/&#3611;&#3637;%2069/5%20&#3591;&#3610;&#3611;&#3637;%2070/working%20&#3591;&#3610;&#3611;&#3637;70-ePB/A3-2-&#3588;&#3656;&#3634;&#3648;&#3594;&#3656;&#3634;&#3594;&#3640;&#3604;&#3626;&#3641;&#3607;%20&#3611;&#3637;70.xlsx" TargetMode="External"/><Relationship Id="rId28" Type="http://schemas.openxmlformats.org/officeDocument/2006/relationships/hyperlink" Target="../../../../../../../panorp_bot_or_th/Documents/&#3613;&#3619;&#3616;/7%20&#3591;&#3611;&#3617;/&#3611;&#3637;%2069/5%20&#3591;&#3610;&#3611;&#3637;%2070/working%20&#3591;&#3610;&#3611;&#3637;70-ePB/B7--&#3649;&#3610;&#3610;&#3586;&#3629;&#3591;&#3610;&#3588;&#3619;&#3640;&#3616;&#3633;&#3603;&#3601;&#3660;%20--&#3585;&#3621;&#3657;&#3629;&#3591;&#3627;&#3609;&#3657;&#3634;&#3619;&#3606;&#3618;&#3609;&#3605;&#3660;.docx" TargetMode="External"/><Relationship Id="rId36" Type="http://schemas.openxmlformats.org/officeDocument/2006/relationships/hyperlink" Target="../../../../../../../panorp_bot_or_th/Documents/&#3613;&#3619;&#3616;/7%20&#3591;&#3611;&#3617;/&#3611;&#3637;%2069/5%20&#3591;&#3610;&#3611;&#3637;%2070/working%20&#3591;&#3610;&#3611;&#3637;70-ePB/B19--&#3649;&#3610;&#3610;&#3588;&#3635;&#3586;&#3629;&#3591;&#3610;&#3588;&#3619;&#3640;&#3616;&#3633;&#3603;&#3601;&#3660;--&#3611;&#3639;&#3609;&#3652;&#3615;&#3615;&#3657;&#3634;%20(Taser%20Gun).docx" TargetMode="External"/><Relationship Id="rId10" Type="http://schemas.openxmlformats.org/officeDocument/2006/relationships/hyperlink" Target="../../../../../../../panorp_bot_or_th/Documents/&#3613;&#3619;&#3616;/7%20&#3591;&#3611;&#3617;/&#3611;&#3637;%2069/5%20&#3591;&#3610;&#3611;&#3637;%2070/working%20&#3591;&#3610;&#3611;&#3637;70-ePB/A6-2-&#3626;&#3619;&#3640;&#3611;&#3588;&#3656;&#3634;&#3592;&#3657;&#3634;OS-&#3611;&#3637;70.xlsx" TargetMode="External"/><Relationship Id="rId19" Type="http://schemas.openxmlformats.org/officeDocument/2006/relationships/hyperlink" Target="../../../../../../../panorp_bot_or_th/Documents/&#3613;&#3619;&#3616;/7%20&#3591;&#3611;&#3617;/&#3611;&#3637;%2069/5%20&#3591;&#3610;&#3611;&#3637;%2070/working%20&#3591;&#3610;&#3611;&#3637;70-ePB/A16--&#3588;&#3594;&#3592;%20&#3626;&#3639;&#3610;&#3626;&#3623;&#3609;%20&#3611;&#3637;70.xlsx" TargetMode="External"/><Relationship Id="rId31" Type="http://schemas.openxmlformats.org/officeDocument/2006/relationships/hyperlink" Target="../../../../../../../panorp_bot_or_th/Documents/&#3613;&#3619;&#3616;/7%20&#3591;&#3611;&#3617;/&#3611;&#3637;%2069/5%20&#3591;&#3610;&#3611;&#3637;%2070/working%20&#3591;&#3610;&#3611;&#3637;70-ePB/B12--&#3649;&#3610;&#3610;&#3586;&#3629;&#3591;&#3610;&#3588;&#3619;&#3640;&#3616;&#3633;&#3603;&#3601;&#3660;--beamdetector.doc" TargetMode="External"/><Relationship Id="rId44" Type="http://schemas.openxmlformats.org/officeDocument/2006/relationships/drawing" Target="../drawings/drawing4.xml"/><Relationship Id="rId4" Type="http://schemas.openxmlformats.org/officeDocument/2006/relationships/hyperlink" Target="../../../../../../../panorp_bot_or_th/Documents/&#3613;&#3619;&#3616;/7%20&#3591;&#3611;&#3617;/&#3611;&#3637;%2069/5%20&#3591;&#3610;&#3611;&#3637;%2070/working%20&#3591;&#3610;&#3611;&#3637;70-ePB/A1-1-&#3588;&#3656;&#3634;&#3621;&#3656;&#3623;&#3591;&#3648;&#3623;&#3621;&#3634;%20&#3611;&#3637;70.xlsx" TargetMode="External"/><Relationship Id="rId9" Type="http://schemas.openxmlformats.org/officeDocument/2006/relationships/hyperlink" Target="../../../../../../../panorp_bot_or_th/Documents/&#3613;&#3619;&#3616;/7%20&#3591;&#3611;&#3617;/&#3611;&#3637;%2069/5%20&#3591;&#3610;&#3611;&#3637;%2070/working%20&#3591;&#3610;&#3611;&#3637;70-ePB/A6-1-&#3626;&#3619;&#3640;&#3611;&#3588;&#3656;&#3634;&#3592;&#3657;&#3634;OS-&#3611;&#3637;69.xlsx" TargetMode="External"/><Relationship Id="rId14" Type="http://schemas.openxmlformats.org/officeDocument/2006/relationships/hyperlink" Target="../../../../../../../panorp_bot_or_th/Documents/&#3613;&#3619;&#3616;/7%20&#3591;&#3611;&#3617;/&#3611;&#3637;%2069/5%20&#3591;&#3610;&#3611;&#3637;%2070/working%20&#3591;&#3610;&#3611;&#3637;70-ePB/A10--&#3588;&#3656;&#3634;&#3623;&#3633;&#3626;&#3604;&#3640;&#3607;&#3633;&#3656;&#3623;&#3652;&#3611;%20&#3611;&#3637;70.xlsx" TargetMode="External"/><Relationship Id="rId22" Type="http://schemas.openxmlformats.org/officeDocument/2006/relationships/hyperlink" Target="../../../../../../../panorp_bot_or_th/Documents/&#3613;&#3619;&#3616;/7%20&#3591;&#3611;&#3617;/&#3611;&#3637;%2069/5%20&#3591;&#3610;&#3611;&#3637;%2070/working%20&#3591;&#3610;&#3611;&#3637;70-ePB/A7-2--&#3588;&#3656;&#3634;&#3605;&#3629;&#3610;&#3649;&#3607;&#3609;&#3610;&#3640;&#3588;&#3588;&#3621;&#3616;&#3634;&#3618;&#3609;&#3629;&#3585;%20&#3611;&#3637;70.xlsx" TargetMode="External"/><Relationship Id="rId27" Type="http://schemas.openxmlformats.org/officeDocument/2006/relationships/hyperlink" Target="../../../../../../../panorp_bot_or_th/Documents/&#3613;&#3619;&#3616;/7%20&#3591;&#3611;&#3617;/&#3611;&#3637;%2069/5%20&#3591;&#3610;&#3611;&#3637;%2070/working%20&#3591;&#3610;&#3611;&#3637;70-ePB/B6---&#3649;&#3610;&#3610;&#3586;&#3629;&#3588;&#3619;&#3640;&#3616;&#3633;&#3603;&#3601;&#3660;--&#3629;&#3640;&#3611;&#3585;&#3619;&#3603;&#3660;&#3648;&#3588;&#3621;&#3639;&#3656;&#3629;&#3609;&#3618;&#3657;&#3634;&#3618;&#3619;&#3606;&#3618;&#3609;&#3605;&#3660;.docx" TargetMode="External"/><Relationship Id="rId30" Type="http://schemas.openxmlformats.org/officeDocument/2006/relationships/hyperlink" Target="../../../../../../../panorp_bot_or_th/Documents/&#3613;&#3619;&#3616;/7%20&#3591;&#3611;&#3617;/&#3611;&#3637;%2069/5%20&#3591;&#3610;&#3611;&#3637;%2070/working%20&#3591;&#3610;&#3611;&#3637;70-ePB/B10--&#3649;&#3610;&#3610;&#3586;&#3629;&#3591;&#3610;&#3588;&#3619;&#3640;&#3616;&#3633;&#3603;&#3601;&#3660;--&#3585;&#3621;&#3657;&#3629;&#3591;%20Thermal%20(&#3592;&#3640;&#3604;&#3594;&#3634;&#3619;&#3660;&#3592;%20EV).docx" TargetMode="External"/><Relationship Id="rId35" Type="http://schemas.openxmlformats.org/officeDocument/2006/relationships/hyperlink" Target="../../../../../../../panorp_bot_or_th/Documents/&#3613;&#3619;&#3616;/7%20&#3591;&#3611;&#3617;/&#3611;&#3637;%2069/5%20&#3591;&#3610;&#3611;&#3637;%2070/working%20&#3591;&#3610;&#3611;&#3637;70-ePB/B17--&#3649;&#3610;&#3610;&#3586;&#3629;&#3591;&#3610;&#3588;&#3619;&#3640;&#3616;&#3633;&#3603;&#3601;&#3660;%20--&#3648;&#3588;&#3619;&#3639;&#3656;&#3629;&#3591;&#3606;&#3656;&#3634;&#3618;&#3610;&#3633;&#3605;&#3619;&#3611;&#3594;&#3594;%20.docx" TargetMode="External"/><Relationship Id="rId43" Type="http://schemas.openxmlformats.org/officeDocument/2006/relationships/printerSettings" Target="../printerSettings/printerSettings4.bin"/><Relationship Id="rId8" Type="http://schemas.openxmlformats.org/officeDocument/2006/relationships/hyperlink" Target="../../../../../../../panorp_bot_or_th/Documents/&#3613;&#3619;&#3616;/7%20&#3591;&#3611;&#3617;/&#3611;&#3637;%2069/5%20&#3591;&#3610;&#3611;&#3637;%2070/working%20&#3591;&#3610;&#3611;&#3637;70-ePB/A5---&#3588;&#3656;&#3634;&#3613;&#3638;&#3585;&#3629;&#3610;&#3619;&#3617;%20&#3611;&#3637;70.xlsx" TargetMode="External"/><Relationship Id="rId3" Type="http://schemas.openxmlformats.org/officeDocument/2006/relationships/hyperlink" Target="../../../../../../../panorp_bot_or_th/Documents/&#3613;&#3619;&#3616;/7%20&#3591;&#3611;&#3617;/&#3611;&#3637;%2069/5%20&#3591;&#3610;&#3611;&#3637;%2070/working%20&#3591;&#3610;&#3611;&#3637;70-ePB/A1-2-&#3648;&#3591;&#3636;&#3609;&#3594;&#3656;&#3623;&#3618;&#3648;&#3627;&#3621;&#3639;&#3629;&#3614;&#3636;&#3648;&#3624;&#3625;-&#3588;&#3656;&#3634;&#3648;&#3586;&#3657;&#3634;&#3648;&#3623;&#3619;%20&#3611;&#3637;70.xlsx" TargetMode="External"/><Relationship Id="rId12" Type="http://schemas.openxmlformats.org/officeDocument/2006/relationships/hyperlink" Target="../../../../../../../panorp_bot_or_th/Documents/&#3613;&#3619;&#3616;/7%20&#3591;&#3611;&#3617;/&#3611;&#3637;%2069/5%20&#3591;&#3610;&#3611;&#3637;%2070/working%20&#3591;&#3610;&#3611;&#3637;70-ePB/A8--&#3588;&#3656;&#3634;&#3595;&#3656;&#3629;&#3617;&#3610;&#3635;&#3619;&#3640;&#3591;&#3619;&#3632;&#3610;&#3610;%20&#3611;&#3637;70.xlsx" TargetMode="External"/><Relationship Id="rId17" Type="http://schemas.openxmlformats.org/officeDocument/2006/relationships/hyperlink" Target="../../../../../../../panorp_bot_or_th/Documents/&#3613;&#3619;&#3616;/7%20&#3591;&#3611;&#3617;/&#3611;&#3637;%2069/5%20&#3591;&#3610;&#3611;&#3637;%2070/working%20&#3591;&#3610;&#3611;&#3637;70-ePB/A13--&#3588;&#3594;&#3592;%20&#3648;&#3604;&#3636;&#3609;&#3607;&#3634;&#3591;&#3651;&#3609;&#3611;&#3619;&#3632;&#3648;&#3607;&#3624;%20&#3611;&#3637;70.xlsx" TargetMode="External"/><Relationship Id="rId25" Type="http://schemas.openxmlformats.org/officeDocument/2006/relationships/hyperlink" Target="../../../../../../../panorp_bot_or_th/Documents/&#3613;&#3619;&#3616;/7%20&#3591;&#3611;&#3617;/&#3611;&#3637;%2069/5%20&#3591;&#3610;&#3611;&#3637;%2070/working%20&#3591;&#3610;&#3611;&#3637;70-ePB/B4--&#3649;&#3610;&#3610;&#3586;&#3629;&#3591;&#3610;&#3588;&#3619;&#3640;&#3616;&#3633;&#3603;&#3601;&#3660;%20--&#3619;&#3606;&#3586;&#3609;&#3626;&#3656;&#3591;(SUV+&#3629;&#3640;&#3611;&#3585;&#3619;&#3603;&#3660;).docx" TargetMode="External"/><Relationship Id="rId33" Type="http://schemas.openxmlformats.org/officeDocument/2006/relationships/hyperlink" Target="../../../../../../../panorp_bot_or_th/Documents/&#3613;&#3619;&#3616;/7%20&#3591;&#3611;&#3617;/&#3611;&#3637;%2069/5%20&#3591;&#3610;&#3611;&#3637;%2070/working%20&#3591;&#3610;&#3611;&#3637;70-ePB/B15--&#3649;&#3610;&#3610;&#3586;&#3629;&#3591;&#3610;&#3588;&#3619;&#3640;&#3616;&#3633;&#3603;&#3601;&#3660;--cardreader.doc" TargetMode="External"/><Relationship Id="rId38" Type="http://schemas.openxmlformats.org/officeDocument/2006/relationships/hyperlink" Target="../../../../../../../panorp_bot_or_th/Documents/&#3613;&#3619;&#3616;/7%20&#3591;&#3611;&#3617;/&#3611;&#3637;%2069/5%20&#3591;&#3610;&#3611;&#3637;%2070/working%20&#3591;&#3610;&#3611;&#3637;70-ePB/B21--&#3649;&#3610;&#3610;&#3586;&#3629;&#3591;&#3610;&#3588;&#3619;&#3640;&#3616;&#3633;&#3603;&#3601;&#3660;--&#3648;&#3588;&#3619;&#3639;&#3656;&#3629;&#3591;&#3588;&#3629;&#3617;&#3614;&#3636;&#3623;&#3648;&#3605;&#3629;&#3619;&#3660;%20NoteBook.docx" TargetMode="External"/><Relationship Id="rId46" Type="http://schemas.openxmlformats.org/officeDocument/2006/relationships/comments" Target="../comments4.xml"/><Relationship Id="rId20" Type="http://schemas.openxmlformats.org/officeDocument/2006/relationships/hyperlink" Target="../../../../../../../panorp_bot_or_th/Documents/&#3613;&#3619;&#3616;/7%20&#3591;&#3611;&#3617;/&#3611;&#3637;%2069/5%20&#3591;&#3610;&#3611;&#3637;%2070/working%20&#3591;&#3610;&#3611;&#3637;70-ePB/A15-1--&#3650;&#3611;&#3619;&#3649;&#3585;&#3619;&#3617;%20&#3613;&#3607;&#3626;%20&#3626;&#3656;&#3623;&#3609;&#3591;&#3634;&#3609;%20&#3611;&#3637;70.xlsx" TargetMode="External"/><Relationship Id="rId41" Type="http://schemas.openxmlformats.org/officeDocument/2006/relationships/hyperlink" Target="../../../../../../../panorp_bot_or_th/Documents/&#3613;&#3619;&#3616;/7%20&#3591;&#3611;&#3617;/&#3611;&#3637;%2069/5%20&#3591;&#3610;&#3611;&#3637;%2070/working%20&#3591;&#3610;&#3611;&#3637;70-ePB/B24--&#3649;&#3610;&#3610;&#3586;&#3629;&#3591;&#3610;&#3588;&#3619;&#3640;&#3616;&#3633;&#3603;&#3601;&#3660;--&#3594;&#3640;&#3604;&#3594;&#3656;&#3623;&#3618;&#3627;&#3634;&#3618;&#3651;&#3592;%20SCBA.docx"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panorp_bot_or_th/Documents/&#3613;&#3619;&#3616;/7%20&#3591;&#3611;&#3617;/&#3611;&#3637;%2069/5%20&#3591;&#3610;&#3611;&#3637;%2070/working%20&#3591;&#3610;&#3611;&#3637;70-ePB/&#3614;&#3588;69--&#3626;&#3619;&#3640;&#3611;&#3585;&#3634;&#3619;&#3651;&#3594;&#3657;&#3588;&#3656;&#3634;&#3592;&#3657;&#3634;&#3591;%20OS%205&#3585;&#3621;&#3640;&#3656;&#3617;.xlsx" TargetMode="External"/><Relationship Id="rId13" Type="http://schemas.openxmlformats.org/officeDocument/2006/relationships/hyperlink" Target="../../../../../../../panorp_bot_or_th/Documents/&#3613;&#3619;&#3616;/7%20&#3591;&#3611;&#3617;/&#3611;&#3637;%2069/&#3611;&#3637;%2068/7%20&#3591;&#3610;&#3611;&#3637;%2069/working%20&#3605;&#3633;&#3657;&#3591;&#3591;&#3610;&#3611;&#3637;69%20-%20final/B1---&#3623;&#3633;&#3626;&#3604;&#3640;&#3588;&#3629;&#3617;&#3614;&#3636;&#3623;&#3648;&#3605;&#3629;&#3619;&#3660;%20&#3611;&#3637;%202569.xlsx" TargetMode="External"/><Relationship Id="rId18" Type="http://schemas.openxmlformats.org/officeDocument/2006/relationships/hyperlink" Target="../../../../../../../panorp_bot_or_th/Documents/&#3613;&#3619;&#3616;/7%20&#3591;&#3611;&#3617;/&#3611;&#3637;%2069/&#3611;&#3637;%2068/7%20&#3591;&#3610;&#3611;&#3637;%2069/working%20&#3605;&#3633;&#3657;&#3591;&#3591;&#3610;&#3611;&#3637;69%20-%20final/B13--&#3650;&#3611;&#3619;&#3649;&#3585;&#3619;&#3617;%20&#3613;&#3607;&#3626;%20&#3626;&#3656;&#3623;&#3609;&#3591;&#3634;&#3609;%20&#3611;&#3637;%202569.xlsx" TargetMode="External"/><Relationship Id="rId3" Type="http://schemas.openxmlformats.org/officeDocument/2006/relationships/hyperlink" Target="../../../../../../../panorp_bot_or_th/Documents/&#3613;&#3619;&#3616;/7%20&#3591;&#3611;&#3617;/&#3611;&#3637;%2069/&#3611;&#3637;%2068/7%20&#3591;&#3610;&#3611;&#3637;%2069/working%20&#3605;&#3633;&#3657;&#3591;&#3591;&#3610;&#3611;&#3637;69%20-%20final/B9---&#3588;&#3656;&#3634;&#3619;&#3633;&#3610;&#3619;&#3629;&#3591;%20&#3611;&#3637;%202569.xlsx" TargetMode="External"/><Relationship Id="rId21" Type="http://schemas.openxmlformats.org/officeDocument/2006/relationships/drawing" Target="../drawings/drawing5.xml"/><Relationship Id="rId7" Type="http://schemas.openxmlformats.org/officeDocument/2006/relationships/hyperlink" Target="../../../../../../../panorp_bot_or_th/Documents/&#3613;&#3619;&#3616;/7%20&#3591;&#3611;&#3617;/&#3611;&#3637;%2069/&#3611;&#3637;%2068/7%20&#3591;&#3610;&#3611;&#3637;%2069/working%20&#3605;&#3633;&#3657;&#3591;&#3591;&#3610;&#3611;&#3637;69%20-%20final/A6---&#3588;&#3656;&#3634;&#3613;&#3638;&#3585;&#3629;&#3610;&#3619;&#3617;%20&#3611;&#3637;%202569.xlsx" TargetMode="External"/><Relationship Id="rId12" Type="http://schemas.openxmlformats.org/officeDocument/2006/relationships/hyperlink" Target="../../../../../../../panorp_bot_or_th/Documents/&#3613;&#3619;&#3616;/7%20&#3591;&#3611;&#3617;/&#3611;&#3637;%2069/&#3611;&#3637;%2068/7%20&#3591;&#3610;&#3611;&#3637;%2069/working%20&#3605;&#3633;&#3657;&#3591;&#3591;&#3610;&#3611;&#3637;69%20-%20final/B3---&#3588;&#3656;&#3634;&#3623;&#3633;&#3626;&#3604;&#3640;&#3607;&#3633;&#3656;&#3623;&#3652;&#3611;%20&#3611;&#3637;%202569.xlsx" TargetMode="External"/><Relationship Id="rId17" Type="http://schemas.openxmlformats.org/officeDocument/2006/relationships/hyperlink" Target="../../../../../../../panorp_bot_or_th/Documents/&#3613;&#3619;&#3616;/7%20&#3591;&#3611;&#3617;/&#3611;&#3637;%2069/&#3611;&#3637;%2068/7%20&#3591;&#3610;&#3611;&#3637;%2069/working%20&#3605;&#3633;&#3657;&#3591;&#3591;&#3610;&#3611;&#3637;69%20-%20final/B9---&#3588;&#3656;&#3634;&#3619;&#3633;&#3610;&#3619;&#3629;&#3591;%20&#3611;&#3637;%202569.xlsx" TargetMode="External"/><Relationship Id="rId2" Type="http://schemas.openxmlformats.org/officeDocument/2006/relationships/hyperlink" Target="../../../../../../../panorp_bot_or_th/Documents/&#3613;&#3619;&#3616;/7%20&#3591;&#3611;&#3617;/&#3611;&#3637;%2069/&#3611;&#3637;%2068/7%20&#3591;&#3610;&#3611;&#3637;%2069/working%20&#3605;&#3633;&#3657;&#3591;&#3591;&#3610;&#3611;&#3637;69%20-%20final/A1---&#3648;&#3591;&#3636;&#3609;&#3594;&#3656;&#3623;&#3618;&#3648;&#3627;&#3621;&#3639;&#3629;&#3614;&#3636;&#3648;&#3624;&#3625;--&#3611;&#3599;&#3636;&#3610;&#3633;&#3605;&#3636;&#3591;&#3634;&#3609;&#3652;&#3617;&#3656;&#3648;&#3611;&#3655;&#3609;&#3652;&#3611;&#3605;&#3634;&#3617;&#3648;&#3623;&#3621;&#3634;&#3611;&#3585;&#3605;&#3636;%20&#3611;&#3637;%202569.xlsx" TargetMode="External"/><Relationship Id="rId16" Type="http://schemas.openxmlformats.org/officeDocument/2006/relationships/hyperlink" Target="../../../../../../../panorp_bot_or_th/Documents/&#3613;&#3619;&#3616;/7%20&#3591;&#3611;&#3617;/&#3611;&#3637;%2069/&#3611;&#3637;%2068/7%20&#3591;&#3610;&#3611;&#3637;%2069/working%20&#3605;&#3633;&#3657;&#3591;&#3591;&#3610;&#3611;&#3637;69%20-%20final/B10--&#3588;&#3656;&#3634;&#3651;&#3594;&#3657;&#3592;&#3656;&#3634;&#3618;&#3648;&#3604;&#3636;&#3609;&#3607;&#3634;&#3591;&#3651;&#3609;&#3611;&#3619;&#3632;&#3648;&#3607;&#3624;%20&#3611;&#3637;%202569.xlsx" TargetMode="External"/><Relationship Id="rId20" Type="http://schemas.openxmlformats.org/officeDocument/2006/relationships/printerSettings" Target="../printerSettings/printerSettings5.bin"/><Relationship Id="rId1" Type="http://schemas.openxmlformats.org/officeDocument/2006/relationships/hyperlink" Target="../../../../../../../panorp_bot_or_th/Documents/&#3613;&#3619;&#3616;/7%20&#3591;&#3611;&#3617;/&#3611;&#3637;%2069/&#3611;&#3637;%2068/7%20&#3591;&#3610;&#3611;&#3637;%2069/working%20&#3605;&#3633;&#3657;&#3591;&#3591;&#3610;&#3611;&#3637;69%20-%20final/A3---&#3588;&#3656;&#3634;&#3621;&#3656;&#3623;&#3591;&#3648;&#3623;&#3621;&#3634;%20&#3611;&#3637;%202569.xlsx" TargetMode="External"/><Relationship Id="rId6" Type="http://schemas.openxmlformats.org/officeDocument/2006/relationships/hyperlink" Target="../../../../../../../panorp_bot_or_th/Documents/&#3613;&#3619;&#3616;/7%20&#3591;&#3611;&#3617;/&#3611;&#3637;%2069/&#3611;&#3637;%2068/7%20&#3591;&#3610;&#3611;&#3637;%2069/working%20&#3605;&#3633;&#3657;&#3591;&#3591;&#3610;&#3611;&#3637;69%20-%20final/A5---&#3612;&#3626;&#3623;%20&#3611;&#3637;%202569.xlsx" TargetMode="External"/><Relationship Id="rId11" Type="http://schemas.openxmlformats.org/officeDocument/2006/relationships/hyperlink" Target="../../../../../../../panorp_bot_or_th/Documents/&#3613;&#3619;&#3616;/7%20&#3591;&#3611;&#3617;/&#3611;&#3637;%2069/&#3611;&#3637;%2068/7%20&#3591;&#3610;&#3611;&#3637;%2069/working%20&#3605;&#3633;&#3657;&#3591;&#3591;&#3610;&#3611;&#3637;69%20-%20final/B2---&#3588;&#3656;&#3634;&#3595;&#3656;&#3629;&#3617;&#3610;&#3635;&#3619;&#3640;&#3591;&#3619;&#3632;&#3610;&#3610;&#3631;_&#3611;&#3637;%202569.xlsx" TargetMode="External"/><Relationship Id="rId5" Type="http://schemas.openxmlformats.org/officeDocument/2006/relationships/hyperlink" Target="../../../../../../../panorp_bot_or_th/Documents/&#3613;&#3619;&#3616;/7%20&#3591;&#3611;&#3617;/&#3611;&#3637;%2069/&#3611;&#3637;%2068/7%20&#3591;&#3610;&#3611;&#3637;%2069/working%20&#3605;&#3633;&#3657;&#3591;&#3591;&#3610;&#3611;&#3637;69%20-%20final/A4---&#3648;&#3626;&#3639;&#3657;&#3629;&#3612;&#3657;&#3634;%20&#3611;&#3637;%202569.xlsx" TargetMode="External"/><Relationship Id="rId15" Type="http://schemas.openxmlformats.org/officeDocument/2006/relationships/hyperlink" Target="../../../../../../../panorp_bot_or_th/Documents/&#3613;&#3619;&#3616;/7%20&#3591;&#3611;&#3617;/&#3611;&#3637;%2069/&#3611;&#3637;%2068/7%20&#3591;&#3610;&#3611;&#3637;%2069/working%20&#3605;&#3633;&#3657;&#3591;&#3591;&#3610;&#3611;&#3637;69%20-%20final/B12--&#3588;&#3656;&#3634;&#3651;&#3594;&#3657;&#3592;&#3656;&#3634;&#3618;&#3651;&#3609;&#3585;&#3634;&#3619;&#3626;&#3639;&#3610;&#3626;&#3623;&#3609;%20&#3611;&#3637;%202569.xlsx" TargetMode="External"/><Relationship Id="rId23" Type="http://schemas.openxmlformats.org/officeDocument/2006/relationships/comments" Target="../comments5.xml"/><Relationship Id="rId10" Type="http://schemas.openxmlformats.org/officeDocument/2006/relationships/hyperlink" Target="../../../../../../../panorp_bot_or_th/Documents/&#3613;&#3619;&#3616;/7%20&#3591;&#3611;&#3617;/&#3611;&#3637;%2069/&#3611;&#3637;%2068/7%20&#3591;&#3610;&#3611;&#3637;%2069/working%20&#3605;&#3633;&#3657;&#3591;&#3591;&#3610;&#3611;&#3637;69%20-%20final/B7---&#3588;&#3656;&#3634;&#3605;&#3629;&#3610;&#3649;&#3607;&#3609;&#3610;&#3640;&#3588;&#3588;&#3621;&#3616;&#3634;&#3618;&#3609;&#3629;&#3585;%20&#3611;&#3637;%202569.xlsx" TargetMode="External"/><Relationship Id="rId19" Type="http://schemas.openxmlformats.org/officeDocument/2006/relationships/hyperlink" Target="../../../../../../../panorp_bot_or_th/Documents/&#3613;&#3619;&#3616;/7%20&#3591;&#3611;&#3617;/&#3611;&#3637;%2069/&#3611;&#3637;%2068/7%20&#3591;&#3610;&#3611;&#3637;%2069/working%20&#3605;&#3633;&#3657;&#3591;&#3591;&#3610;&#3611;&#3637;69%20-%20final/B14--&#3650;&#3611;&#3619;&#3649;&#3585;&#3619;&#3617;%20&#3613;&#3607;&#3626;%20&#3626;&#3656;&#3623;&#3609;&#3585;&#3621;&#3634;&#3591;%20&#3611;&#3637;%202569.xlsx" TargetMode="External"/><Relationship Id="rId4" Type="http://schemas.openxmlformats.org/officeDocument/2006/relationships/hyperlink" Target="../../../../../../../panorp_bot_or_th/Documents/&#3613;&#3619;&#3616;/7%20&#3591;&#3611;&#3617;/&#3611;&#3637;%2069/&#3611;&#3637;%2068/7%20&#3591;&#3610;&#3611;&#3637;%2069/working%20&#3605;&#3633;&#3657;&#3591;&#3591;&#3610;&#3611;&#3637;69%20-%20final/A2---&#3648;&#3591;&#3636;&#3609;&#3594;&#3656;&#3623;&#3618;&#3648;&#3627;&#3621;&#3639;&#3629;&#3629;&#3639;&#3656;&#3609;(&#3648;&#3604;&#3636;&#3609;&#3607;&#3634;&#3591;&#3605;&#3656;&#3634;&#3591;%20&#3626;&#3609;&#3591;)%20&#3611;&#3637;%202569.xlsx" TargetMode="External"/><Relationship Id="rId9" Type="http://schemas.openxmlformats.org/officeDocument/2006/relationships/hyperlink" Target="../../../../../../../panorp_bot_or_th/Documents/&#3613;&#3619;&#3616;/7%20&#3591;&#3611;&#3617;/&#3611;&#3637;%2069/&#3611;&#3637;%2068/7%20&#3591;&#3610;&#3611;&#3637;%2069/working%20&#3605;&#3633;&#3657;&#3591;&#3591;&#3610;&#3611;&#3637;69%20-%20final/B5-3---&#3588;&#3656;&#3634;&#3592;&#3657;&#3634;&#3591;&#3649;&#3619;&#3591;&#3591;&#3634;&#3609;&#3607;&#3635;&#3586;&#3629;&#3591;%20&#3611;&#3637;%202569.xlsx" TargetMode="External"/><Relationship Id="rId14" Type="http://schemas.openxmlformats.org/officeDocument/2006/relationships/hyperlink" Target="../../../../../../../panorp_bot_or_th/Documents/&#3613;&#3619;&#3616;/7%20&#3591;&#3611;&#3617;/&#3611;&#3637;%2069/&#3611;&#3637;%2068/7%20&#3591;&#3610;&#3611;&#3637;%2069/working%20&#3605;&#3633;&#3657;&#3591;&#3591;&#3610;&#3611;&#3637;69%20-%20final/B8---&#3588;&#3656;&#3634;&#3608;&#3619;&#3619;&#3617;&#3648;&#3609;&#3637;&#3618;&#3617;&#3629;&#3639;&#3656;&#3609;%20&#3654;%20&#3611;&#3637;%202569.xlsx" TargetMode="External"/><Relationship Id="rId2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129E2-4625-48F3-B5D8-74EF03C32CA5}">
  <dimension ref="B1:IF88"/>
  <sheetViews>
    <sheetView tabSelected="1" zoomScaleNormal="100" zoomScaleSheetLayoutView="90" workbookViewId="0">
      <pane xSplit="7" ySplit="4" topLeftCell="N24" activePane="bottomRight" state="frozen"/>
      <selection pane="topRight" activeCell="G1" sqref="G1"/>
      <selection pane="bottomLeft" activeCell="A5" sqref="A5"/>
      <selection pane="bottomRight" activeCell="T59" sqref="T59"/>
    </sheetView>
  </sheetViews>
  <sheetFormatPr defaultRowHeight="13.5" x14ac:dyDescent="0.35"/>
  <cols>
    <col min="1" max="1" width="5.5625" customWidth="1"/>
    <col min="2" max="2" width="14.75" style="47" hidden="1" customWidth="1"/>
    <col min="3" max="3" width="2.4375" style="38" hidden="1" customWidth="1"/>
    <col min="4" max="4" width="9.75" customWidth="1"/>
    <col min="5" max="5" width="9.8125" style="409" bestFit="1" customWidth="1"/>
    <col min="6" max="6" width="1.75" customWidth="1"/>
    <col min="7" max="7" width="31.0625" customWidth="1"/>
    <col min="8" max="8" width="9.3125" style="464" bestFit="1" customWidth="1"/>
    <col min="9" max="9" width="9.0625" style="465" customWidth="1"/>
    <col min="10" max="10" width="7.75" style="464" bestFit="1" customWidth="1"/>
    <col min="11" max="11" width="12" style="465" customWidth="1"/>
    <col min="12" max="12" width="12.75" style="30" customWidth="1"/>
    <col min="13" max="13" width="11.25" style="44" customWidth="1"/>
    <col min="14" max="14" width="7.5" style="38" bestFit="1" customWidth="1"/>
    <col min="15" max="15" width="10.0625" style="32" bestFit="1" customWidth="1"/>
    <col min="16" max="16" width="8.5625" style="38" bestFit="1" customWidth="1"/>
    <col min="17" max="17" width="7.5" bestFit="1" customWidth="1"/>
    <col min="18" max="18" width="8.5" hidden="1" customWidth="1"/>
    <col min="19" max="19" width="50.3125" style="32" customWidth="1"/>
    <col min="21" max="21" width="10.6875" bestFit="1" customWidth="1"/>
    <col min="23" max="24" width="11.75" customWidth="1"/>
    <col min="25" max="25" width="12.5625" customWidth="1"/>
  </cols>
  <sheetData>
    <row r="1" spans="2:240" s="3" customFormat="1" ht="21.7" customHeight="1" x14ac:dyDescent="0.35">
      <c r="B1" s="45">
        <f>(18990)*105%</f>
        <v>19939.5</v>
      </c>
      <c r="C1" s="394">
        <f>80000/6</f>
        <v>13333.333333333334</v>
      </c>
      <c r="D1" s="699" t="s">
        <v>0</v>
      </c>
      <c r="E1" s="699"/>
      <c r="F1" s="699"/>
      <c r="G1" s="699"/>
      <c r="H1" s="699"/>
      <c r="I1" s="699"/>
      <c r="J1" s="699"/>
      <c r="K1" s="699"/>
      <c r="L1" s="699"/>
      <c r="M1" s="699"/>
      <c r="N1" s="699"/>
      <c r="O1" s="699"/>
      <c r="P1" s="699"/>
      <c r="Q1" s="699"/>
      <c r="R1" s="699"/>
      <c r="S1" s="699"/>
      <c r="T1" s="699"/>
      <c r="U1" s="699"/>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row>
    <row r="2" spans="2:240" s="3" customFormat="1" ht="8.5500000000000007" customHeight="1" thickBot="1" x14ac:dyDescent="0.4">
      <c r="B2" s="45"/>
      <c r="C2" s="394"/>
      <c r="D2" s="1"/>
      <c r="E2" s="407"/>
      <c r="F2" s="1"/>
      <c r="G2" s="1"/>
      <c r="H2" s="1"/>
      <c r="I2" s="29"/>
      <c r="J2" s="1"/>
      <c r="K2" s="29"/>
      <c r="L2" s="29"/>
      <c r="M2" s="40"/>
      <c r="N2" s="37"/>
      <c r="O2" s="31"/>
      <c r="P2" s="37"/>
      <c r="Q2" s="1"/>
      <c r="R2" s="1"/>
      <c r="S2" s="31"/>
      <c r="T2" s="1"/>
      <c r="U2" s="1"/>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row>
    <row r="3" spans="2:240" s="4" customFormat="1" ht="24" customHeight="1" thickTop="1" x14ac:dyDescent="0.3">
      <c r="B3" s="600"/>
      <c r="C3" s="395"/>
      <c r="D3" s="673" t="s">
        <v>1</v>
      </c>
      <c r="E3" s="700" t="s">
        <v>2</v>
      </c>
      <c r="F3" s="673" t="s">
        <v>3</v>
      </c>
      <c r="G3" s="673"/>
      <c r="H3" s="701" t="s">
        <v>4</v>
      </c>
      <c r="I3" s="702"/>
      <c r="J3" s="702"/>
      <c r="K3" s="702"/>
      <c r="L3" s="711" t="s">
        <v>5</v>
      </c>
      <c r="M3" s="711"/>
      <c r="N3" s="712"/>
      <c r="O3" s="703" t="s">
        <v>6</v>
      </c>
      <c r="P3" s="704"/>
      <c r="Q3" s="704"/>
      <c r="R3" s="704"/>
      <c r="S3" s="705"/>
      <c r="T3" s="706" t="s">
        <v>687</v>
      </c>
      <c r="U3" s="707"/>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row>
    <row r="4" spans="2:240" s="4" customFormat="1" ht="28.05" customHeight="1" x14ac:dyDescent="0.3">
      <c r="B4" s="600"/>
      <c r="C4" s="395"/>
      <c r="D4" s="673"/>
      <c r="E4" s="700"/>
      <c r="F4" s="673"/>
      <c r="G4" s="673"/>
      <c r="H4" s="701"/>
      <c r="I4" s="702"/>
      <c r="J4" s="702"/>
      <c r="K4" s="702"/>
      <c r="L4" s="50" t="s">
        <v>8</v>
      </c>
      <c r="M4" s="39" t="s">
        <v>9</v>
      </c>
      <c r="N4" s="17" t="s">
        <v>10</v>
      </c>
      <c r="O4" s="26" t="s">
        <v>11</v>
      </c>
      <c r="P4" s="25" t="s">
        <v>12</v>
      </c>
      <c r="Q4" s="17" t="s">
        <v>13</v>
      </c>
      <c r="R4" s="17" t="s">
        <v>14</v>
      </c>
      <c r="S4" s="427" t="s">
        <v>15</v>
      </c>
      <c r="T4" s="18" t="s">
        <v>16</v>
      </c>
      <c r="U4" s="19" t="s">
        <v>17</v>
      </c>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row>
    <row r="5" spans="2:240" s="4" customFormat="1" ht="29.55" customHeight="1" x14ac:dyDescent="0.3">
      <c r="B5" s="600"/>
      <c r="C5" s="395"/>
      <c r="D5" s="668" t="s">
        <v>18</v>
      </c>
      <c r="E5" s="669"/>
      <c r="F5" s="669"/>
      <c r="G5" s="708"/>
      <c r="H5" s="444"/>
      <c r="I5" s="445"/>
      <c r="J5" s="446"/>
      <c r="K5" s="447"/>
      <c r="L5" s="406">
        <f>SUM(L6,L9:L14,L20,L23,L27:L31,L36:L39)</f>
        <v>79578400</v>
      </c>
      <c r="M5" s="406">
        <f>SUM(M6,M9:M14,M20,M23,M27:M31,M36:M39)</f>
        <v>36603717.033333339</v>
      </c>
      <c r="N5" s="536">
        <f>IFERROR(M5/L5,1)</f>
        <v>0.45997050749114504</v>
      </c>
      <c r="O5" s="51">
        <f>SUM(O6,O9:O14,O20,O23,O27:O31,O36:O39)</f>
        <v>83730954.375</v>
      </c>
      <c r="P5" s="882">
        <f>O5-L5</f>
        <v>4152554.375</v>
      </c>
      <c r="Q5" s="523">
        <f>IFERROR(O5/L5-1,1)</f>
        <v>5.2181928450433679E-2</v>
      </c>
      <c r="R5" s="489" t="str">
        <f t="shared" ref="R5:R36" si="0">IF(O5&gt;L5,"เพิ่มขึ้น",IF(O5&lt;L5,"ลดลง",IF(O5=L5,"--")))</f>
        <v>เพิ่มขึ้น</v>
      </c>
      <c r="S5" s="883" t="s">
        <v>705</v>
      </c>
      <c r="T5" s="27">
        <f>SUM(T14,T23,T37,T38)</f>
        <v>12</v>
      </c>
      <c r="U5" s="406">
        <f>SUM(U6,U9:U14,U20,U23,U27:U31,U36:U39)</f>
        <v>103563190</v>
      </c>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row>
    <row r="6" spans="2:240" s="4" customFormat="1" ht="20.2" customHeight="1" x14ac:dyDescent="0.3">
      <c r="B6" s="600"/>
      <c r="C6" s="395"/>
      <c r="D6" s="377" t="s">
        <v>20</v>
      </c>
      <c r="E6" s="500"/>
      <c r="F6" s="709" t="s">
        <v>21</v>
      </c>
      <c r="G6" s="710"/>
      <c r="H6" s="643" t="s">
        <v>22</v>
      </c>
      <c r="I6" s="644"/>
      <c r="J6" s="644"/>
      <c r="K6" s="644"/>
      <c r="L6" s="402">
        <f>SUM(L7:L8)</f>
        <v>5950000</v>
      </c>
      <c r="M6" s="410">
        <f>SUM(M7:M8)</f>
        <v>3752559.21</v>
      </c>
      <c r="N6" s="417">
        <f t="shared" ref="N6:N71" si="1">IFERROR(M6/L6,1)</f>
        <v>0.63068222016806719</v>
      </c>
      <c r="O6" s="52">
        <f>SUM(O7:O8)</f>
        <v>7090000</v>
      </c>
      <c r="P6" s="425">
        <f t="shared" ref="P6:Q70" si="2">O6-L6</f>
        <v>1140000</v>
      </c>
      <c r="Q6" s="422">
        <f>IFERROR(O6/L6-1,1)</f>
        <v>0.19159663865546217</v>
      </c>
      <c r="R6" s="426" t="str">
        <f t="shared" si="0"/>
        <v>เพิ่มขึ้น</v>
      </c>
      <c r="S6" s="433" t="s">
        <v>23</v>
      </c>
      <c r="T6" s="6" t="s">
        <v>24</v>
      </c>
      <c r="U6" s="7">
        <v>0</v>
      </c>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row>
    <row r="7" spans="2:240" s="4" customFormat="1" ht="46.5" customHeight="1" x14ac:dyDescent="0.3">
      <c r="B7" s="387"/>
      <c r="C7" s="395" t="s">
        <v>25</v>
      </c>
      <c r="D7" s="377">
        <v>5020102000</v>
      </c>
      <c r="E7" s="501" t="s">
        <v>26</v>
      </c>
      <c r="F7" s="398"/>
      <c r="G7" s="20" t="s">
        <v>27</v>
      </c>
      <c r="H7" s="647" t="s">
        <v>28</v>
      </c>
      <c r="I7" s="648"/>
      <c r="J7" s="648"/>
      <c r="K7" s="649"/>
      <c r="L7" s="428">
        <f>'สรุปใช้งบ 31กค'!H11</f>
        <v>310000</v>
      </c>
      <c r="M7" s="42">
        <f>'สรุปใช้งบ 31กค'!L11</f>
        <v>263759.21000000002</v>
      </c>
      <c r="N7" s="468">
        <f t="shared" si="1"/>
        <v>0.85083616129032269</v>
      </c>
      <c r="O7" s="53">
        <f>[1]คำขอ2570!$F$8</f>
        <v>890000</v>
      </c>
      <c r="P7" s="421">
        <f t="shared" si="2"/>
        <v>580000</v>
      </c>
      <c r="Q7" s="423">
        <f t="shared" ref="Q7:Q70" si="3">IFERROR(O7/L7-1,1)</f>
        <v>1.870967741935484</v>
      </c>
      <c r="R7" s="49" t="str">
        <f t="shared" si="0"/>
        <v>เพิ่มขึ้น</v>
      </c>
      <c r="S7" s="419" t="s">
        <v>652</v>
      </c>
      <c r="T7" s="8" t="s">
        <v>24</v>
      </c>
      <c r="U7" s="9">
        <v>0</v>
      </c>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row>
    <row r="8" spans="2:240" s="4" customFormat="1" ht="38.549999999999997" customHeight="1" x14ac:dyDescent="0.3">
      <c r="B8" s="387" t="s">
        <v>29</v>
      </c>
      <c r="C8" s="395" t="s">
        <v>25</v>
      </c>
      <c r="D8" s="377">
        <v>5020104000</v>
      </c>
      <c r="E8" s="501" t="s">
        <v>30</v>
      </c>
      <c r="F8" s="398"/>
      <c r="G8" s="21" t="s">
        <v>31</v>
      </c>
      <c r="H8" s="647" t="s">
        <v>32</v>
      </c>
      <c r="I8" s="648"/>
      <c r="J8" s="648"/>
      <c r="K8" s="649"/>
      <c r="L8" s="428">
        <f>'สรุปใช้งบ 31กค'!H12</f>
        <v>5640000</v>
      </c>
      <c r="M8" s="42">
        <f>'สรุปใช้งบ 31กค'!L12</f>
        <v>3488800</v>
      </c>
      <c r="N8" s="468">
        <f t="shared" si="1"/>
        <v>0.61858156028368794</v>
      </c>
      <c r="O8" s="53">
        <f>'[2]2570new'!$D$21</f>
        <v>6200000</v>
      </c>
      <c r="P8" s="421">
        <f t="shared" si="2"/>
        <v>560000</v>
      </c>
      <c r="Q8" s="423">
        <f t="shared" si="3"/>
        <v>9.9290780141843893E-2</v>
      </c>
      <c r="R8" s="49" t="str">
        <f t="shared" si="0"/>
        <v>เพิ่มขึ้น</v>
      </c>
      <c r="S8" s="420" t="s">
        <v>653</v>
      </c>
      <c r="T8" s="8" t="s">
        <v>24</v>
      </c>
      <c r="U8" s="9">
        <v>0</v>
      </c>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row>
    <row r="9" spans="2:240" s="4" customFormat="1" ht="34.049999999999997" customHeight="1" x14ac:dyDescent="0.3">
      <c r="B9" s="470" t="s">
        <v>33</v>
      </c>
      <c r="C9" s="395"/>
      <c r="D9" s="377">
        <v>5020305000</v>
      </c>
      <c r="E9" s="501" t="s">
        <v>34</v>
      </c>
      <c r="F9" s="671" t="s">
        <v>35</v>
      </c>
      <c r="G9" s="672"/>
      <c r="H9" s="713" t="s">
        <v>36</v>
      </c>
      <c r="I9" s="714"/>
      <c r="J9" s="714"/>
      <c r="K9" s="714"/>
      <c r="L9" s="429">
        <f>'สรุปใช้งบ 31กค'!H13</f>
        <v>6650000</v>
      </c>
      <c r="M9" s="41">
        <f>'สรุปใช้งบ 31กค'!$L$13</f>
        <v>2100323.85</v>
      </c>
      <c r="N9" s="417">
        <f t="shared" si="1"/>
        <v>0.31583817293233085</v>
      </c>
      <c r="O9" s="52">
        <f>'[3]1. ต่างสำนักงาน  Rate ปี 70'!$F$20</f>
        <v>4380000</v>
      </c>
      <c r="P9" s="413">
        <f t="shared" si="2"/>
        <v>-2270000</v>
      </c>
      <c r="Q9" s="418">
        <f t="shared" si="3"/>
        <v>-0.34135338345864663</v>
      </c>
      <c r="R9" s="426" t="str">
        <f t="shared" si="0"/>
        <v>ลดลง</v>
      </c>
      <c r="S9" s="415" t="s">
        <v>37</v>
      </c>
      <c r="T9" s="13" t="s">
        <v>24</v>
      </c>
      <c r="U9" s="14">
        <v>0</v>
      </c>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row>
    <row r="10" spans="2:240" s="4" customFormat="1" ht="48" customHeight="1" x14ac:dyDescent="0.3">
      <c r="B10" s="432" t="s">
        <v>38</v>
      </c>
      <c r="C10" s="15"/>
      <c r="D10" s="377">
        <v>5020304000</v>
      </c>
      <c r="E10" s="501" t="s">
        <v>39</v>
      </c>
      <c r="F10" s="626" t="s">
        <v>40</v>
      </c>
      <c r="G10" s="627"/>
      <c r="H10" s="654" t="s">
        <v>41</v>
      </c>
      <c r="I10" s="643"/>
      <c r="J10" s="643"/>
      <c r="K10" s="643"/>
      <c r="L10" s="378">
        <f>'สรุปใช้งบ 31กค'!H14</f>
        <v>457900</v>
      </c>
      <c r="M10" s="41">
        <f>'สรุปใช้งบ 31กค'!$L$14</f>
        <v>443910.80000000005</v>
      </c>
      <c r="N10" s="417">
        <f t="shared" si="1"/>
        <v>0.96944922472155504</v>
      </c>
      <c r="O10" s="54">
        <v>1204490</v>
      </c>
      <c r="P10" s="425">
        <f t="shared" si="2"/>
        <v>746590</v>
      </c>
      <c r="Q10" s="422">
        <f t="shared" si="3"/>
        <v>1.6304651670670451</v>
      </c>
      <c r="R10" s="467" t="str">
        <f t="shared" si="0"/>
        <v>เพิ่มขึ้น</v>
      </c>
      <c r="S10" s="433" t="s">
        <v>651</v>
      </c>
      <c r="T10" s="6" t="s">
        <v>24</v>
      </c>
      <c r="U10" s="7">
        <v>0</v>
      </c>
      <c r="V10" s="5"/>
      <c r="W10" s="526"/>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row>
    <row r="11" spans="2:240" s="4" customFormat="1" ht="25.5" customHeight="1" x14ac:dyDescent="0.3">
      <c r="B11" s="46"/>
      <c r="C11" s="395" t="s">
        <v>25</v>
      </c>
      <c r="D11" s="377">
        <v>5031207000</v>
      </c>
      <c r="E11" s="501" t="s">
        <v>42</v>
      </c>
      <c r="F11" s="626" t="s">
        <v>654</v>
      </c>
      <c r="G11" s="627"/>
      <c r="H11" s="654" t="s">
        <v>43</v>
      </c>
      <c r="I11" s="643"/>
      <c r="J11" s="643"/>
      <c r="K11" s="643"/>
      <c r="L11" s="381">
        <v>0</v>
      </c>
      <c r="M11" s="307">
        <v>0</v>
      </c>
      <c r="N11" s="417">
        <f t="shared" si="1"/>
        <v>1</v>
      </c>
      <c r="O11" s="52">
        <f>'[4]ค่าเช่าชุดสูท 70'!$E$9</f>
        <v>50000</v>
      </c>
      <c r="P11" s="425">
        <f t="shared" si="2"/>
        <v>50000</v>
      </c>
      <c r="Q11" s="422">
        <f t="shared" si="3"/>
        <v>1</v>
      </c>
      <c r="R11" s="467" t="str">
        <f t="shared" si="0"/>
        <v>เพิ่มขึ้น</v>
      </c>
      <c r="S11" s="433" t="s">
        <v>636</v>
      </c>
      <c r="T11" s="6" t="s">
        <v>24</v>
      </c>
      <c r="U11" s="7">
        <v>0</v>
      </c>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row>
    <row r="12" spans="2:240" s="4" customFormat="1" ht="21.7" customHeight="1" x14ac:dyDescent="0.3">
      <c r="B12" s="600"/>
      <c r="C12" s="395" t="s">
        <v>25</v>
      </c>
      <c r="D12" s="377">
        <v>5020306000</v>
      </c>
      <c r="E12" s="501" t="s">
        <v>44</v>
      </c>
      <c r="F12" s="626" t="s">
        <v>45</v>
      </c>
      <c r="G12" s="627"/>
      <c r="H12" s="643" t="s">
        <v>46</v>
      </c>
      <c r="I12" s="644"/>
      <c r="J12" s="644"/>
      <c r="K12" s="644"/>
      <c r="L12" s="378">
        <f>'สรุปใช้งบ 31กค'!H15</f>
        <v>165000</v>
      </c>
      <c r="M12" s="41">
        <f>'สรุปใช้งบ 31กค'!$L$15</f>
        <v>26800.35</v>
      </c>
      <c r="N12" s="417">
        <f t="shared" si="1"/>
        <v>0.16242636363636362</v>
      </c>
      <c r="O12" s="52">
        <f>'[5]2570'!$H$13</f>
        <v>145000</v>
      </c>
      <c r="P12" s="413">
        <f t="shared" si="2"/>
        <v>-20000</v>
      </c>
      <c r="Q12" s="418">
        <f t="shared" si="3"/>
        <v>-0.12121212121212122</v>
      </c>
      <c r="R12" s="426" t="str">
        <f t="shared" si="0"/>
        <v>ลดลง</v>
      </c>
      <c r="S12" s="434" t="s">
        <v>47</v>
      </c>
      <c r="T12" s="6" t="s">
        <v>24</v>
      </c>
      <c r="U12" s="7">
        <v>0</v>
      </c>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row>
    <row r="13" spans="2:240" s="4" customFormat="1" ht="26.55" customHeight="1" x14ac:dyDescent="0.3">
      <c r="B13" s="600"/>
      <c r="C13" s="395" t="s">
        <v>25</v>
      </c>
      <c r="D13" s="377" t="s">
        <v>291</v>
      </c>
      <c r="E13" s="501" t="s">
        <v>48</v>
      </c>
      <c r="F13" s="628" t="s">
        <v>49</v>
      </c>
      <c r="G13" s="629"/>
      <c r="H13" s="645" t="s">
        <v>50</v>
      </c>
      <c r="I13" s="646"/>
      <c r="J13" s="646"/>
      <c r="K13" s="646"/>
      <c r="L13" s="378">
        <f>'สรุปใช้งบ 31กค'!H16</f>
        <v>1522500</v>
      </c>
      <c r="M13" s="41">
        <f>'สรุปใช้งบ 31กค'!$L$16</f>
        <v>257470.88999999998</v>
      </c>
      <c r="N13" s="417">
        <f t="shared" si="1"/>
        <v>0.16911060098522165</v>
      </c>
      <c r="O13" s="578">
        <f>'[6]2570'!$H$14</f>
        <v>675000</v>
      </c>
      <c r="P13" s="413">
        <f t="shared" si="2"/>
        <v>-847500</v>
      </c>
      <c r="Q13" s="881">
        <f t="shared" si="3"/>
        <v>-0.55665024630541871</v>
      </c>
      <c r="R13" s="577" t="str">
        <f t="shared" si="0"/>
        <v>ลดลง</v>
      </c>
      <c r="S13" s="434" t="s">
        <v>697</v>
      </c>
      <c r="T13" s="6" t="s">
        <v>24</v>
      </c>
      <c r="U13" s="7">
        <v>0</v>
      </c>
      <c r="V13" s="5"/>
      <c r="W13" s="581" t="s">
        <v>690</v>
      </c>
      <c r="X13" s="581" t="s">
        <v>691</v>
      </c>
      <c r="Y13" s="581" t="s">
        <v>692</v>
      </c>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row>
    <row r="14" spans="2:240" s="5" customFormat="1" ht="23.55" customHeight="1" x14ac:dyDescent="0.35">
      <c r="B14" s="600"/>
      <c r="C14" s="603" t="s">
        <v>25</v>
      </c>
      <c r="D14" s="677">
        <v>5031116000</v>
      </c>
      <c r="E14" s="683" t="s">
        <v>52</v>
      </c>
      <c r="F14" s="630" t="s">
        <v>53</v>
      </c>
      <c r="G14" s="631"/>
      <c r="H14" s="643" t="s">
        <v>54</v>
      </c>
      <c r="I14" s="644"/>
      <c r="J14" s="644"/>
      <c r="K14" s="644"/>
      <c r="L14" s="378">
        <f>SUM(L15:L19)</f>
        <v>55490000</v>
      </c>
      <c r="M14" s="41">
        <f>SUM(M15:M19)</f>
        <v>25990271.513333336</v>
      </c>
      <c r="N14" s="417">
        <f t="shared" si="1"/>
        <v>0.46837757277587555</v>
      </c>
      <c r="O14" s="52">
        <f>SUM(O15:O19)</f>
        <v>59880600</v>
      </c>
      <c r="P14" s="425">
        <f t="shared" si="2"/>
        <v>4390600</v>
      </c>
      <c r="Q14" s="422">
        <f t="shared" si="3"/>
        <v>7.9124166516489458E-2</v>
      </c>
      <c r="R14" s="467" t="str">
        <f t="shared" si="0"/>
        <v>เพิ่มขึ้น</v>
      </c>
      <c r="S14" s="439" t="s">
        <v>55</v>
      </c>
      <c r="T14" s="6">
        <v>5</v>
      </c>
      <c r="U14" s="7">
        <f>SUM(U15:U19)</f>
        <v>101283500</v>
      </c>
      <c r="W14" s="580">
        <f>SUM(W15:W19)</f>
        <v>57250300</v>
      </c>
      <c r="X14" s="580">
        <f t="shared" ref="X14:Y14" si="4">SUM(X15:X19)</f>
        <v>32895600</v>
      </c>
      <c r="Y14" s="580">
        <f t="shared" si="4"/>
        <v>11137600</v>
      </c>
    </row>
    <row r="15" spans="2:240" s="4" customFormat="1" ht="20.2" customHeight="1" x14ac:dyDescent="0.3">
      <c r="B15" s="600"/>
      <c r="C15" s="603"/>
      <c r="D15" s="678"/>
      <c r="E15" s="684"/>
      <c r="F15" s="632"/>
      <c r="G15" s="633"/>
      <c r="H15" s="649" t="s">
        <v>56</v>
      </c>
      <c r="I15" s="648"/>
      <c r="J15" s="648"/>
      <c r="K15" s="648"/>
      <c r="L15" s="379">
        <f>Dataผลพิปี69!U31</f>
        <v>25020000</v>
      </c>
      <c r="M15" s="42">
        <f>'[7]กลุ่ม 1'!$H$25</f>
        <v>13844752.41</v>
      </c>
      <c r="N15" s="468">
        <f t="shared" si="1"/>
        <v>0.55334741846522784</v>
      </c>
      <c r="O15" s="53">
        <f>'[8]Template OS-2570 '!$AU$10+'[8]Template OS-2570 '!$AU$11+'[8]Template OS-2570 '!$AU$12</f>
        <v>30297600</v>
      </c>
      <c r="P15" s="421">
        <f t="shared" si="2"/>
        <v>5277600</v>
      </c>
      <c r="Q15" s="423">
        <f t="shared" si="3"/>
        <v>0.21093525179856121</v>
      </c>
      <c r="R15" s="424" t="str">
        <f t="shared" si="0"/>
        <v>เพิ่มขึ้น</v>
      </c>
      <c r="S15" s="658" t="s">
        <v>57</v>
      </c>
      <c r="T15" s="443">
        <v>1</v>
      </c>
      <c r="U15" s="9">
        <f>W15+X15+Y15</f>
        <v>76479500</v>
      </c>
      <c r="V15" s="5"/>
      <c r="W15" s="582">
        <f>'[8]Template OS-2570 '!$AX$12</f>
        <v>32446300</v>
      </c>
      <c r="X15" s="582">
        <f>'[8]Template OS-2570 '!$BA$12</f>
        <v>32895600</v>
      </c>
      <c r="Y15" s="582">
        <f>'[8]Template OS-2570 '!$BD$12</f>
        <v>11137600</v>
      </c>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row>
    <row r="16" spans="2:240" s="4" customFormat="1" ht="20.2" customHeight="1" x14ac:dyDescent="0.3">
      <c r="B16" s="600"/>
      <c r="C16" s="603"/>
      <c r="D16" s="678"/>
      <c r="E16" s="684"/>
      <c r="F16" s="632"/>
      <c r="G16" s="633"/>
      <c r="H16" s="649" t="s">
        <v>58</v>
      </c>
      <c r="I16" s="648"/>
      <c r="J16" s="648"/>
      <c r="K16" s="648"/>
      <c r="L16" s="379">
        <f>Dataผลพิปี69!U32</f>
        <v>6100000</v>
      </c>
      <c r="M16" s="42">
        <f>[7]กลุ่ม2!$H$43</f>
        <v>3041731.2800000003</v>
      </c>
      <c r="N16" s="468">
        <f t="shared" si="1"/>
        <v>0.4986444721311476</v>
      </c>
      <c r="O16" s="53">
        <f>'[8]Template OS-2570 '!$AU$14</f>
        <v>5243500</v>
      </c>
      <c r="P16" s="414">
        <f t="shared" si="2"/>
        <v>-856500</v>
      </c>
      <c r="Q16" s="466">
        <f t="shared" si="3"/>
        <v>-0.14040983606557378</v>
      </c>
      <c r="R16" s="442" t="str">
        <f t="shared" si="0"/>
        <v>ลดลง</v>
      </c>
      <c r="S16" s="659"/>
      <c r="T16" s="443">
        <v>1</v>
      </c>
      <c r="U16" s="9">
        <f t="shared" ref="U16:U19" si="5">W16+X16+Y16</f>
        <v>4373000</v>
      </c>
      <c r="V16" s="5"/>
      <c r="W16" s="582">
        <f>'[8]Template OS-2570 '!$AX$14</f>
        <v>4373000</v>
      </c>
      <c r="X16" s="583"/>
      <c r="Y16" s="583"/>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row>
    <row r="17" spans="2:240" s="4" customFormat="1" ht="20.2" customHeight="1" x14ac:dyDescent="0.3">
      <c r="B17" s="600"/>
      <c r="C17" s="603" t="s">
        <v>25</v>
      </c>
      <c r="D17" s="678"/>
      <c r="E17" s="683" t="s">
        <v>59</v>
      </c>
      <c r="F17" s="632"/>
      <c r="G17" s="633"/>
      <c r="H17" s="695" t="s">
        <v>60</v>
      </c>
      <c r="I17" s="696"/>
      <c r="J17" s="696"/>
      <c r="K17" s="696"/>
      <c r="L17" s="379">
        <f>Dataผลพิปี69!U33</f>
        <v>6170000</v>
      </c>
      <c r="M17" s="42">
        <f>[9]กลุ่ม3!$H$43</f>
        <v>1942537.4</v>
      </c>
      <c r="N17" s="468">
        <f t="shared" si="1"/>
        <v>0.3148358833063209</v>
      </c>
      <c r="O17" s="53">
        <f>'[8]Template OS-2570 '!$AU$18</f>
        <v>5458400</v>
      </c>
      <c r="P17" s="414">
        <f t="shared" si="2"/>
        <v>-711600</v>
      </c>
      <c r="Q17" s="466">
        <f t="shared" si="3"/>
        <v>-0.11533225283630466</v>
      </c>
      <c r="R17" s="442" t="str">
        <f t="shared" si="0"/>
        <v>ลดลง</v>
      </c>
      <c r="S17" s="659"/>
      <c r="T17" s="443">
        <v>1</v>
      </c>
      <c r="U17" s="9">
        <f t="shared" si="5"/>
        <v>4688000</v>
      </c>
      <c r="V17" s="5"/>
      <c r="W17" s="582">
        <f>'[8]Template OS-2570 '!$AX$18</f>
        <v>4688000</v>
      </c>
      <c r="X17" s="583"/>
      <c r="Y17" s="583"/>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row>
    <row r="18" spans="2:240" s="4" customFormat="1" ht="20.2" customHeight="1" x14ac:dyDescent="0.3">
      <c r="B18" s="441"/>
      <c r="C18" s="603"/>
      <c r="D18" s="678"/>
      <c r="E18" s="684"/>
      <c r="F18" s="632"/>
      <c r="G18" s="633"/>
      <c r="H18" s="649" t="s">
        <v>673</v>
      </c>
      <c r="I18" s="648"/>
      <c r="J18" s="648"/>
      <c r="K18" s="648"/>
      <c r="L18" s="379">
        <f>Dataผลพิปี69!U34</f>
        <v>6200000</v>
      </c>
      <c r="M18" s="42">
        <f>[9]กลุ่ม4!$H$43</f>
        <v>3452552.16</v>
      </c>
      <c r="N18" s="468">
        <f t="shared" si="1"/>
        <v>0.55686325161290329</v>
      </c>
      <c r="O18" s="53">
        <f>'[8]Template OS-2570 '!$AU$20</f>
        <v>5949500</v>
      </c>
      <c r="P18" s="414">
        <f t="shared" si="2"/>
        <v>-250500</v>
      </c>
      <c r="Q18" s="466">
        <f t="shared" si="3"/>
        <v>-4.0403225806451615E-2</v>
      </c>
      <c r="R18" s="442" t="str">
        <f t="shared" si="0"/>
        <v>ลดลง</v>
      </c>
      <c r="S18" s="656" t="s">
        <v>702</v>
      </c>
      <c r="T18" s="443">
        <v>1</v>
      </c>
      <c r="U18" s="9">
        <f t="shared" si="5"/>
        <v>4961200</v>
      </c>
      <c r="V18" s="5"/>
      <c r="W18" s="582">
        <f>'[8]Template OS-2570 '!$AX$20</f>
        <v>4961200</v>
      </c>
      <c r="X18" s="583"/>
      <c r="Y18" s="583"/>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row>
    <row r="19" spans="2:240" s="4" customFormat="1" ht="36" customHeight="1" x14ac:dyDescent="0.3">
      <c r="B19" s="441"/>
      <c r="C19" s="603"/>
      <c r="D19" s="679"/>
      <c r="E19" s="684"/>
      <c r="F19" s="634"/>
      <c r="G19" s="635"/>
      <c r="H19" s="649" t="s">
        <v>62</v>
      </c>
      <c r="I19" s="648"/>
      <c r="J19" s="648"/>
      <c r="K19" s="648"/>
      <c r="L19" s="379">
        <f>Dataผลพิปี69!U35</f>
        <v>12000000</v>
      </c>
      <c r="M19" s="42">
        <f>[9]กลุ่ม5!$H$53</f>
        <v>3708698.2633333337</v>
      </c>
      <c r="N19" s="468">
        <f t="shared" si="1"/>
        <v>0.30905818861111112</v>
      </c>
      <c r="O19" s="53">
        <f>'[8]Template OS-2570 '!$AU$24</f>
        <v>12931600</v>
      </c>
      <c r="P19" s="421">
        <f t="shared" si="2"/>
        <v>931600</v>
      </c>
      <c r="Q19" s="423">
        <f t="shared" si="3"/>
        <v>7.7633333333333443E-2</v>
      </c>
      <c r="R19" s="424" t="str">
        <f t="shared" si="0"/>
        <v>เพิ่มขึ้น</v>
      </c>
      <c r="S19" s="657"/>
      <c r="T19" s="443">
        <v>1</v>
      </c>
      <c r="U19" s="9">
        <f t="shared" si="5"/>
        <v>10781800</v>
      </c>
      <c r="V19" s="5"/>
      <c r="W19" s="582">
        <f>'[8]Template OS-2570 '!$AX$24</f>
        <v>10781800</v>
      </c>
      <c r="X19" s="583"/>
      <c r="Y19" s="583"/>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row>
    <row r="20" spans="2:240" s="4" customFormat="1" ht="20.2" customHeight="1" x14ac:dyDescent="0.3">
      <c r="B20" s="387"/>
      <c r="C20" s="395"/>
      <c r="D20" s="377" t="s">
        <v>20</v>
      </c>
      <c r="E20" s="502"/>
      <c r="F20" s="636" t="s">
        <v>63</v>
      </c>
      <c r="G20" s="637"/>
      <c r="H20" s="650" t="s">
        <v>22</v>
      </c>
      <c r="I20" s="651"/>
      <c r="J20" s="651"/>
      <c r="K20" s="651"/>
      <c r="L20" s="380">
        <f>SUM(L21:L22)</f>
        <v>4372900</v>
      </c>
      <c r="M20" s="43">
        <f>SUM(M21:M22)</f>
        <v>2170381</v>
      </c>
      <c r="N20" s="417">
        <f t="shared" si="1"/>
        <v>0.49632532186878275</v>
      </c>
      <c r="O20" s="54">
        <f>SUM(O21:O22)</f>
        <v>4376900</v>
      </c>
      <c r="P20" s="472">
        <f t="shared" si="2"/>
        <v>4000</v>
      </c>
      <c r="Q20" s="422">
        <f t="shared" si="3"/>
        <v>9.1472478218124209E-4</v>
      </c>
      <c r="R20" s="473" t="str">
        <f t="shared" si="0"/>
        <v>เพิ่มขึ้น</v>
      </c>
      <c r="S20" s="474" t="s">
        <v>655</v>
      </c>
      <c r="T20" s="13" t="s">
        <v>24</v>
      </c>
      <c r="U20" s="14">
        <v>0</v>
      </c>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row>
    <row r="21" spans="2:240" s="4" customFormat="1" ht="33.700000000000003" customHeight="1" x14ac:dyDescent="0.3">
      <c r="B21" s="431" t="s">
        <v>33</v>
      </c>
      <c r="C21" s="15"/>
      <c r="D21" s="377">
        <v>5031120000</v>
      </c>
      <c r="E21" s="501" t="s">
        <v>64</v>
      </c>
      <c r="F21" s="399"/>
      <c r="G21" s="21" t="s">
        <v>65</v>
      </c>
      <c r="H21" s="647" t="s">
        <v>66</v>
      </c>
      <c r="I21" s="648"/>
      <c r="J21" s="648"/>
      <c r="K21" s="649"/>
      <c r="L21" s="379">
        <f>'สรุปใช้งบ 31กค'!$H$18</f>
        <v>31000</v>
      </c>
      <c r="M21" s="42">
        <f>'สรุปใช้งบ 31กค'!$L$18</f>
        <v>24931</v>
      </c>
      <c r="N21" s="468">
        <f t="shared" si="1"/>
        <v>0.8042258064516129</v>
      </c>
      <c r="O21" s="53">
        <f>'[10]2570'!$C$22</f>
        <v>35000</v>
      </c>
      <c r="P21" s="421">
        <f t="shared" si="2"/>
        <v>4000</v>
      </c>
      <c r="Q21" s="423">
        <f t="shared" si="3"/>
        <v>0.12903225806451624</v>
      </c>
      <c r="R21" s="424" t="str">
        <f t="shared" si="0"/>
        <v>เพิ่มขึ้น</v>
      </c>
      <c r="S21" s="471" t="s">
        <v>683</v>
      </c>
      <c r="T21" s="8" t="s">
        <v>24</v>
      </c>
      <c r="U21" s="9">
        <v>0</v>
      </c>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row>
    <row r="22" spans="2:240" s="4" customFormat="1" ht="20.2" customHeight="1" x14ac:dyDescent="0.3">
      <c r="B22" s="600"/>
      <c r="C22" s="395" t="s">
        <v>67</v>
      </c>
      <c r="D22" s="377" t="s">
        <v>308</v>
      </c>
      <c r="E22" s="501" t="s">
        <v>68</v>
      </c>
      <c r="F22" s="400"/>
      <c r="G22" s="28" t="s">
        <v>69</v>
      </c>
      <c r="H22" s="647" t="s">
        <v>70</v>
      </c>
      <c r="I22" s="648"/>
      <c r="J22" s="648"/>
      <c r="K22" s="649"/>
      <c r="L22" s="379">
        <f>'สรุปใช้งบ 31กค'!$H$19</f>
        <v>4341900</v>
      </c>
      <c r="M22" s="42">
        <f>'สรุปใช้งบ 31กค'!$L$19</f>
        <v>2145450</v>
      </c>
      <c r="N22" s="468">
        <f t="shared" si="1"/>
        <v>0.49412699509431357</v>
      </c>
      <c r="O22" s="53">
        <f>'[11]2570'!$T$38</f>
        <v>4341900</v>
      </c>
      <c r="P22" s="388">
        <f t="shared" si="2"/>
        <v>0</v>
      </c>
      <c r="Q22" s="529">
        <f t="shared" si="3"/>
        <v>0</v>
      </c>
      <c r="R22" s="49" t="str">
        <f t="shared" si="0"/>
        <v>--</v>
      </c>
      <c r="S22" s="437" t="s">
        <v>657</v>
      </c>
      <c r="T22" s="8" t="s">
        <v>24</v>
      </c>
      <c r="U22" s="9">
        <v>0</v>
      </c>
      <c r="V22" s="5"/>
      <c r="W22" s="581" t="s">
        <v>690</v>
      </c>
      <c r="X22" s="581" t="s">
        <v>691</v>
      </c>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row>
    <row r="23" spans="2:240" s="4" customFormat="1" ht="20.55" customHeight="1" x14ac:dyDescent="0.3">
      <c r="B23" s="600"/>
      <c r="C23" s="718" t="s">
        <v>25</v>
      </c>
      <c r="D23" s="674">
        <v>5031214000</v>
      </c>
      <c r="E23" s="680" t="s">
        <v>71</v>
      </c>
      <c r="F23" s="638" t="s">
        <v>72</v>
      </c>
      <c r="G23" s="639"/>
      <c r="H23" s="643" t="s">
        <v>73</v>
      </c>
      <c r="I23" s="644"/>
      <c r="J23" s="644"/>
      <c r="K23" s="644"/>
      <c r="L23" s="378">
        <f>SUM(L24:L26)</f>
        <v>2414500</v>
      </c>
      <c r="M23" s="41">
        <f>SUM(M24:M26)</f>
        <v>1205595.75</v>
      </c>
      <c r="N23" s="417">
        <f t="shared" si="1"/>
        <v>0.49931486850279561</v>
      </c>
      <c r="O23" s="52">
        <f>SUM(O24:O26)</f>
        <v>1977164.375</v>
      </c>
      <c r="P23" s="413">
        <f t="shared" si="2"/>
        <v>-437335.625</v>
      </c>
      <c r="Q23" s="418">
        <f t="shared" si="3"/>
        <v>-0.18112885690619174</v>
      </c>
      <c r="R23" s="469" t="str">
        <f t="shared" si="0"/>
        <v>ลดลง</v>
      </c>
      <c r="S23" s="48" t="s">
        <v>699</v>
      </c>
      <c r="T23" s="6">
        <f>SUM(T24:T26)</f>
        <v>2</v>
      </c>
      <c r="U23" s="7">
        <f>SUM(U24:U26)</f>
        <v>2270890</v>
      </c>
      <c r="V23" s="5"/>
      <c r="W23" s="582">
        <f>SUM(W24:W25)</f>
        <v>1531662</v>
      </c>
      <c r="X23" s="582">
        <f>SUM(X24:X25)</f>
        <v>739228</v>
      </c>
      <c r="Y23" s="586"/>
      <c r="Z23" s="580"/>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row>
    <row r="24" spans="2:240" s="4" customFormat="1" ht="33.5" customHeight="1" x14ac:dyDescent="0.3">
      <c r="B24" s="600"/>
      <c r="C24" s="718"/>
      <c r="D24" s="675"/>
      <c r="E24" s="681"/>
      <c r="F24" s="640"/>
      <c r="G24" s="637"/>
      <c r="H24" s="649" t="s">
        <v>75</v>
      </c>
      <c r="I24" s="648"/>
      <c r="J24" s="648"/>
      <c r="K24" s="648"/>
      <c r="L24" s="379">
        <v>2263100</v>
      </c>
      <c r="M24" s="42">
        <v>1131525</v>
      </c>
      <c r="N24" s="468">
        <f t="shared" si="1"/>
        <v>0.49998895320577968</v>
      </c>
      <c r="O24" s="53">
        <f>'[12]new 2570'!$E$7</f>
        <v>1844150</v>
      </c>
      <c r="P24" s="414">
        <f t="shared" si="2"/>
        <v>-418950</v>
      </c>
      <c r="Q24" s="466">
        <f t="shared" si="3"/>
        <v>-0.18512217754407667</v>
      </c>
      <c r="R24" s="442" t="str">
        <f t="shared" si="0"/>
        <v>ลดลง</v>
      </c>
      <c r="S24" s="879" t="s">
        <v>700</v>
      </c>
      <c r="T24" s="8">
        <v>1</v>
      </c>
      <c r="U24" s="9">
        <f>SUM(W24:X24)</f>
        <v>2137875</v>
      </c>
      <c r="V24" s="5"/>
      <c r="W24" s="582">
        <v>1425250</v>
      </c>
      <c r="X24" s="582">
        <v>712625</v>
      </c>
      <c r="Y24" s="586"/>
      <c r="Z24" s="580"/>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row>
    <row r="25" spans="2:240" s="4" customFormat="1" ht="26" customHeight="1" x14ac:dyDescent="0.3">
      <c r="B25" s="600"/>
      <c r="C25" s="718"/>
      <c r="D25" s="675"/>
      <c r="E25" s="681"/>
      <c r="F25" s="640"/>
      <c r="G25" s="637"/>
      <c r="H25" s="649" t="s">
        <v>674</v>
      </c>
      <c r="I25" s="648"/>
      <c r="J25" s="648"/>
      <c r="K25" s="648"/>
      <c r="L25" s="379">
        <v>106500</v>
      </c>
      <c r="M25" s="42">
        <v>53205.75</v>
      </c>
      <c r="N25" s="468">
        <f t="shared" si="1"/>
        <v>0.49958450704225354</v>
      </c>
      <c r="O25" s="53">
        <f>'[12]new 2570'!$E$11</f>
        <v>133014.375</v>
      </c>
      <c r="P25" s="421">
        <f t="shared" si="2"/>
        <v>26514.375</v>
      </c>
      <c r="Q25" s="423">
        <f t="shared" si="3"/>
        <v>0.24896126760563386</v>
      </c>
      <c r="R25" s="442" t="str">
        <f t="shared" si="0"/>
        <v>เพิ่มขึ้น</v>
      </c>
      <c r="S25" s="880" t="s">
        <v>701</v>
      </c>
      <c r="T25" s="8">
        <v>1</v>
      </c>
      <c r="U25" s="9">
        <f>SUM(W25:X25)</f>
        <v>133015</v>
      </c>
      <c r="V25" s="5"/>
      <c r="W25" s="582">
        <v>106412</v>
      </c>
      <c r="X25" s="582">
        <v>26603</v>
      </c>
      <c r="Y25" s="586"/>
      <c r="Z25" s="580"/>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row>
    <row r="26" spans="2:240" s="4" customFormat="1" ht="24.7" customHeight="1" x14ac:dyDescent="0.3">
      <c r="B26" s="600"/>
      <c r="C26" s="718"/>
      <c r="D26" s="676"/>
      <c r="E26" s="682"/>
      <c r="F26" s="641"/>
      <c r="G26" s="642"/>
      <c r="H26" s="649" t="s">
        <v>77</v>
      </c>
      <c r="I26" s="648"/>
      <c r="J26" s="648"/>
      <c r="K26" s="648"/>
      <c r="L26" s="379">
        <v>44900</v>
      </c>
      <c r="M26" s="42">
        <v>20865</v>
      </c>
      <c r="N26" s="468">
        <f t="shared" si="1"/>
        <v>0.46469933184855233</v>
      </c>
      <c r="O26" s="53">
        <f>'[13]new 2570'!$E$15</f>
        <v>0</v>
      </c>
      <c r="P26" s="414">
        <f t="shared" si="2"/>
        <v>-44900</v>
      </c>
      <c r="Q26" s="466">
        <f t="shared" si="3"/>
        <v>-1</v>
      </c>
      <c r="R26" s="442" t="str">
        <f t="shared" si="0"/>
        <v>ลดลง</v>
      </c>
      <c r="S26" s="475" t="s">
        <v>661</v>
      </c>
      <c r="T26" s="8" t="s">
        <v>78</v>
      </c>
      <c r="U26" s="9">
        <v>0</v>
      </c>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row>
    <row r="27" spans="2:240" s="4" customFormat="1" ht="29.55" customHeight="1" x14ac:dyDescent="0.3">
      <c r="B27" s="600"/>
      <c r="C27" s="395"/>
      <c r="D27" s="377">
        <v>5031218000</v>
      </c>
      <c r="E27" s="503" t="s">
        <v>79</v>
      </c>
      <c r="F27" s="715" t="s">
        <v>80</v>
      </c>
      <c r="G27" s="716"/>
      <c r="H27" s="713" t="s">
        <v>81</v>
      </c>
      <c r="I27" s="714"/>
      <c r="J27" s="714"/>
      <c r="K27" s="714"/>
      <c r="L27" s="380">
        <v>147000</v>
      </c>
      <c r="M27" s="41">
        <v>46866</v>
      </c>
      <c r="N27" s="417">
        <f t="shared" si="1"/>
        <v>0.31881632653061226</v>
      </c>
      <c r="O27" s="52">
        <f>'[14]2570'!$F$16</f>
        <v>195000</v>
      </c>
      <c r="P27" s="425">
        <f t="shared" si="2"/>
        <v>48000</v>
      </c>
      <c r="Q27" s="422">
        <f t="shared" si="3"/>
        <v>0.32653061224489788</v>
      </c>
      <c r="R27" s="473" t="str">
        <f t="shared" si="0"/>
        <v>เพิ่มขึ้น</v>
      </c>
      <c r="S27" s="476" t="s">
        <v>662</v>
      </c>
      <c r="T27" s="6" t="s">
        <v>24</v>
      </c>
      <c r="U27" s="7">
        <v>0</v>
      </c>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row>
    <row r="28" spans="2:240" s="4" customFormat="1" ht="61.05" customHeight="1" x14ac:dyDescent="0.3">
      <c r="B28" s="431" t="s">
        <v>33</v>
      </c>
      <c r="C28" s="395"/>
      <c r="D28" s="377">
        <v>5031219000</v>
      </c>
      <c r="E28" s="503" t="s">
        <v>82</v>
      </c>
      <c r="F28" s="690" t="s">
        <v>83</v>
      </c>
      <c r="G28" s="691"/>
      <c r="H28" s="654" t="s">
        <v>84</v>
      </c>
      <c r="I28" s="643"/>
      <c r="J28" s="643"/>
      <c r="K28" s="643"/>
      <c r="L28" s="378">
        <f>'สรุปใช้งบ 31กค'!H24</f>
        <v>305300</v>
      </c>
      <c r="M28" s="41">
        <f>'สรุปใช้งบ 31กค'!L24</f>
        <v>126239.72</v>
      </c>
      <c r="N28" s="417">
        <f t="shared" si="1"/>
        <v>0.41349400589584018</v>
      </c>
      <c r="O28" s="578">
        <f>'[15]2570'!$E$8</f>
        <v>1580000</v>
      </c>
      <c r="P28" s="425">
        <f t="shared" si="2"/>
        <v>1274700</v>
      </c>
      <c r="Q28" s="422">
        <f t="shared" si="3"/>
        <v>4.1752374713396661</v>
      </c>
      <c r="R28" s="469" t="str">
        <f t="shared" si="0"/>
        <v>เพิ่มขึ้น</v>
      </c>
      <c r="S28" s="579" t="s">
        <v>703</v>
      </c>
      <c r="T28" s="6" t="s">
        <v>24</v>
      </c>
      <c r="U28" s="7">
        <v>0</v>
      </c>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row>
    <row r="29" spans="2:240" s="4" customFormat="1" ht="29.55" customHeight="1" x14ac:dyDescent="0.3">
      <c r="B29" s="387"/>
      <c r="C29" s="395" t="s">
        <v>67</v>
      </c>
      <c r="D29" s="377" t="s">
        <v>333</v>
      </c>
      <c r="E29" s="503" t="s">
        <v>85</v>
      </c>
      <c r="F29" s="724" t="s">
        <v>86</v>
      </c>
      <c r="G29" s="725"/>
      <c r="H29" s="654" t="s">
        <v>645</v>
      </c>
      <c r="I29" s="643"/>
      <c r="J29" s="643"/>
      <c r="K29" s="643"/>
      <c r="L29" s="378">
        <f>'สรุปใช้งบ 31กค'!H26</f>
        <v>150000</v>
      </c>
      <c r="M29" s="307">
        <f>'สรุปใช้งบ 31กค'!L26</f>
        <v>0</v>
      </c>
      <c r="N29" s="527">
        <f t="shared" si="1"/>
        <v>0</v>
      </c>
      <c r="O29" s="52">
        <f>'[16]2570'!$D$13</f>
        <v>150000</v>
      </c>
      <c r="P29" s="411">
        <f t="shared" si="2"/>
        <v>0</v>
      </c>
      <c r="Q29" s="528">
        <f t="shared" si="3"/>
        <v>0</v>
      </c>
      <c r="R29" s="469" t="str">
        <f t="shared" si="0"/>
        <v>--</v>
      </c>
      <c r="S29" s="521" t="s">
        <v>670</v>
      </c>
      <c r="T29" s="6" t="s">
        <v>24</v>
      </c>
      <c r="U29" s="7">
        <v>0</v>
      </c>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row>
    <row r="30" spans="2:240" s="4" customFormat="1" ht="28.5" customHeight="1" x14ac:dyDescent="0.3">
      <c r="B30" s="600"/>
      <c r="C30" s="395" t="s">
        <v>67</v>
      </c>
      <c r="D30" s="377" t="s">
        <v>337</v>
      </c>
      <c r="E30" s="503" t="s">
        <v>88</v>
      </c>
      <c r="F30" s="724" t="s">
        <v>89</v>
      </c>
      <c r="G30" s="725"/>
      <c r="H30" s="654" t="s">
        <v>90</v>
      </c>
      <c r="I30" s="643"/>
      <c r="J30" s="643"/>
      <c r="K30" s="643"/>
      <c r="L30" s="378">
        <f>'สรุปใช้งบ 31กค'!H27</f>
        <v>80000</v>
      </c>
      <c r="M30" s="41">
        <f>'สรุปใช้งบ 31กค'!L27</f>
        <v>24068</v>
      </c>
      <c r="N30" s="417">
        <f t="shared" si="1"/>
        <v>0.30085000000000001</v>
      </c>
      <c r="O30" s="52">
        <f>'[17]2570'!$C$20</f>
        <v>80000</v>
      </c>
      <c r="P30" s="411">
        <f>O30-L30</f>
        <v>0</v>
      </c>
      <c r="Q30" s="527">
        <f t="shared" si="3"/>
        <v>0</v>
      </c>
      <c r="R30" s="469" t="str">
        <f t="shared" si="0"/>
        <v>--</v>
      </c>
      <c r="S30" s="440" t="s">
        <v>91</v>
      </c>
      <c r="T30" s="6" t="s">
        <v>24</v>
      </c>
      <c r="U30" s="7">
        <v>0</v>
      </c>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row>
    <row r="31" spans="2:240" s="4" customFormat="1" ht="19.5" customHeight="1" x14ac:dyDescent="0.3">
      <c r="B31" s="600"/>
      <c r="C31" s="603" t="s">
        <v>25</v>
      </c>
      <c r="D31" s="677">
        <v>5031134000</v>
      </c>
      <c r="E31" s="719" t="s">
        <v>92</v>
      </c>
      <c r="F31" s="709" t="s">
        <v>93</v>
      </c>
      <c r="G31" s="710"/>
      <c r="H31" s="654" t="s">
        <v>94</v>
      </c>
      <c r="I31" s="643"/>
      <c r="J31" s="643"/>
      <c r="K31" s="643"/>
      <c r="L31" s="378">
        <f>SUM(L32:L35)</f>
        <v>1597000</v>
      </c>
      <c r="M31" s="41">
        <f>'สรุปใช้งบ 31กค'!L28</f>
        <v>369502.95</v>
      </c>
      <c r="N31" s="417">
        <f t="shared" si="1"/>
        <v>0.23137316844082656</v>
      </c>
      <c r="O31" s="52">
        <f>SUM(O32:O35)</f>
        <v>1630000</v>
      </c>
      <c r="P31" s="472">
        <f t="shared" si="2"/>
        <v>33000</v>
      </c>
      <c r="Q31" s="422">
        <f t="shared" si="3"/>
        <v>2.0663744520976746E-2</v>
      </c>
      <c r="R31" s="473" t="str">
        <f t="shared" si="0"/>
        <v>เพิ่มขึ้น</v>
      </c>
      <c r="S31" s="474" t="s">
        <v>95</v>
      </c>
      <c r="T31" s="6" t="s">
        <v>24</v>
      </c>
      <c r="U31" s="7">
        <v>0</v>
      </c>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row>
    <row r="32" spans="2:240" s="4" customFormat="1" ht="18.7" customHeight="1" x14ac:dyDescent="0.3">
      <c r="B32" s="600"/>
      <c r="C32" s="603"/>
      <c r="D32" s="678"/>
      <c r="E32" s="720"/>
      <c r="F32" s="729"/>
      <c r="G32" s="730"/>
      <c r="H32" s="655" t="s">
        <v>96</v>
      </c>
      <c r="I32" s="649"/>
      <c r="J32" s="649"/>
      <c r="K32" s="649"/>
      <c r="L32" s="379">
        <f>Dataผลพิปี69!U63</f>
        <v>460000</v>
      </c>
      <c r="M32" s="42" t="s">
        <v>97</v>
      </c>
      <c r="N32" s="468">
        <f t="shared" si="1"/>
        <v>1</v>
      </c>
      <c r="O32" s="53">
        <f>'[18]รวม คชจ.ปี 70'!$C$23</f>
        <v>480000</v>
      </c>
      <c r="P32" s="421">
        <f t="shared" si="2"/>
        <v>20000</v>
      </c>
      <c r="Q32" s="423">
        <f t="shared" si="3"/>
        <v>4.3478260869565188E-2</v>
      </c>
      <c r="R32" s="424" t="str">
        <f t="shared" si="0"/>
        <v>เพิ่มขึ้น</v>
      </c>
      <c r="S32" s="485" t="s">
        <v>682</v>
      </c>
      <c r="T32" s="8" t="s">
        <v>24</v>
      </c>
      <c r="U32" s="9">
        <v>0</v>
      </c>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row>
    <row r="33" spans="2:240" s="4" customFormat="1" ht="18.7" customHeight="1" x14ac:dyDescent="0.3">
      <c r="B33" s="600"/>
      <c r="C33" s="603"/>
      <c r="D33" s="678"/>
      <c r="E33" s="720"/>
      <c r="F33" s="729"/>
      <c r="G33" s="730"/>
      <c r="H33" s="655" t="s">
        <v>99</v>
      </c>
      <c r="I33" s="649"/>
      <c r="J33" s="649"/>
      <c r="K33" s="649"/>
      <c r="L33" s="379">
        <f>Dataผลพิปี69!U64</f>
        <v>587000</v>
      </c>
      <c r="M33" s="42" t="s">
        <v>97</v>
      </c>
      <c r="N33" s="468">
        <f t="shared" si="1"/>
        <v>1</v>
      </c>
      <c r="O33" s="53">
        <f>'[18]รวม คชจ.ปี 70'!$C$24</f>
        <v>500000</v>
      </c>
      <c r="P33" s="414">
        <f t="shared" si="2"/>
        <v>-87000</v>
      </c>
      <c r="Q33" s="466">
        <f t="shared" si="3"/>
        <v>-0.14821124361158433</v>
      </c>
      <c r="R33" s="49" t="str">
        <f t="shared" si="0"/>
        <v>ลดลง</v>
      </c>
      <c r="S33" s="34" t="s">
        <v>681</v>
      </c>
      <c r="T33" s="8" t="s">
        <v>24</v>
      </c>
      <c r="U33" s="9">
        <v>0</v>
      </c>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row>
    <row r="34" spans="2:240" s="4" customFormat="1" ht="18.7" customHeight="1" x14ac:dyDescent="0.3">
      <c r="B34" s="600"/>
      <c r="C34" s="603"/>
      <c r="D34" s="678"/>
      <c r="E34" s="720"/>
      <c r="F34" s="729"/>
      <c r="G34" s="730"/>
      <c r="H34" s="655" t="s">
        <v>101</v>
      </c>
      <c r="I34" s="649"/>
      <c r="J34" s="649"/>
      <c r="K34" s="649"/>
      <c r="L34" s="379">
        <f>Dataผลพิปี69!U65</f>
        <v>400000</v>
      </c>
      <c r="M34" s="42" t="s">
        <v>97</v>
      </c>
      <c r="N34" s="468">
        <f t="shared" si="1"/>
        <v>1</v>
      </c>
      <c r="O34" s="53">
        <f>'[18]รวม คชจ.ปี 70'!$C$24</f>
        <v>500000</v>
      </c>
      <c r="P34" s="421">
        <f t="shared" si="2"/>
        <v>100000</v>
      </c>
      <c r="Q34" s="423">
        <f t="shared" si="3"/>
        <v>0.25</v>
      </c>
      <c r="R34" s="424" t="str">
        <f t="shared" si="0"/>
        <v>เพิ่มขึ้น</v>
      </c>
      <c r="S34" s="480" t="s">
        <v>680</v>
      </c>
      <c r="T34" s="8" t="s">
        <v>24</v>
      </c>
      <c r="U34" s="9">
        <v>0</v>
      </c>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row>
    <row r="35" spans="2:240" s="4" customFormat="1" ht="18.7" customHeight="1" x14ac:dyDescent="0.3">
      <c r="B35" s="600"/>
      <c r="C35" s="603"/>
      <c r="D35" s="679"/>
      <c r="E35" s="721"/>
      <c r="F35" s="731"/>
      <c r="G35" s="732"/>
      <c r="H35" s="655" t="s">
        <v>103</v>
      </c>
      <c r="I35" s="649"/>
      <c r="J35" s="649"/>
      <c r="K35" s="649"/>
      <c r="L35" s="379">
        <f>Dataผลพิปี69!U66</f>
        <v>150000</v>
      </c>
      <c r="M35" s="42" t="s">
        <v>97</v>
      </c>
      <c r="N35" s="468">
        <f t="shared" si="1"/>
        <v>1</v>
      </c>
      <c r="O35" s="53">
        <f>'[18]รวม คชจ.ปี 70'!$C$26</f>
        <v>150000</v>
      </c>
      <c r="P35" s="388">
        <f t="shared" si="2"/>
        <v>0</v>
      </c>
      <c r="Q35" s="529">
        <f t="shared" si="3"/>
        <v>0</v>
      </c>
      <c r="R35" s="49" t="str">
        <f t="shared" si="0"/>
        <v>--</v>
      </c>
      <c r="S35" s="481" t="s">
        <v>679</v>
      </c>
      <c r="T35" s="8" t="s">
        <v>24</v>
      </c>
      <c r="U35" s="9">
        <v>0</v>
      </c>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row>
    <row r="36" spans="2:240" s="4" customFormat="1" ht="69.5" customHeight="1" x14ac:dyDescent="0.3">
      <c r="B36" s="387"/>
      <c r="C36" s="395" t="s">
        <v>25</v>
      </c>
      <c r="D36" s="377" t="s">
        <v>347</v>
      </c>
      <c r="E36" s="503" t="s">
        <v>105</v>
      </c>
      <c r="F36" s="709" t="s">
        <v>106</v>
      </c>
      <c r="G36" s="710"/>
      <c r="H36" s="654" t="s">
        <v>107</v>
      </c>
      <c r="I36" s="643"/>
      <c r="J36" s="643"/>
      <c r="K36" s="643"/>
      <c r="L36" s="378">
        <f>'สรุปใช้งบ 31กค'!H29</f>
        <v>27000</v>
      </c>
      <c r="M36" s="41">
        <f>'สรุปใช้งบ 31กค'!L29</f>
        <v>1177</v>
      </c>
      <c r="N36" s="417">
        <f t="shared" si="1"/>
        <v>4.3592592592592593E-2</v>
      </c>
      <c r="O36" s="52">
        <f>'[19]2570'!$D$28</f>
        <v>40000</v>
      </c>
      <c r="P36" s="425">
        <f t="shared" si="2"/>
        <v>13000</v>
      </c>
      <c r="Q36" s="422">
        <f t="shared" si="3"/>
        <v>0.4814814814814814</v>
      </c>
      <c r="R36" s="467" t="str">
        <f t="shared" si="0"/>
        <v>เพิ่มขึ้น</v>
      </c>
      <c r="S36" s="433" t="s">
        <v>663</v>
      </c>
      <c r="T36" s="6" t="s">
        <v>24</v>
      </c>
      <c r="U36" s="7">
        <v>0</v>
      </c>
      <c r="V36" s="5"/>
      <c r="W36" s="581" t="s">
        <v>690</v>
      </c>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row>
    <row r="37" spans="2:240" s="4" customFormat="1" ht="19.05" customHeight="1" x14ac:dyDescent="0.3">
      <c r="B37" s="431" t="s">
        <v>108</v>
      </c>
      <c r="C37" s="395" t="s">
        <v>109</v>
      </c>
      <c r="D37" s="377">
        <v>5031118000</v>
      </c>
      <c r="E37" s="501" t="s">
        <v>110</v>
      </c>
      <c r="F37" s="726" t="s">
        <v>111</v>
      </c>
      <c r="G37" s="716"/>
      <c r="H37" s="713" t="s">
        <v>112</v>
      </c>
      <c r="I37" s="714"/>
      <c r="J37" s="714"/>
      <c r="K37" s="714"/>
      <c r="L37" s="378">
        <f>'สรุปใช้งบ 31กค'!H32</f>
        <v>6300</v>
      </c>
      <c r="M37" s="41">
        <f>'สรุปใช้งบ 31กค'!L32</f>
        <v>5550</v>
      </c>
      <c r="N37" s="417">
        <f t="shared" si="1"/>
        <v>0.88095238095238093</v>
      </c>
      <c r="O37" s="52">
        <f>'[20]ค่าสิทธิการใช้โปรแกรม ปี 70'!$H$202</f>
        <v>8800</v>
      </c>
      <c r="P37" s="425">
        <f t="shared" si="2"/>
        <v>2500</v>
      </c>
      <c r="Q37" s="422">
        <f t="shared" si="3"/>
        <v>0.39682539682539675</v>
      </c>
      <c r="R37" s="467" t="str">
        <f t="shared" ref="R37:R73" si="6">IF(O37&gt;L37,"เพิ่มขึ้น",IF(O37&lt;L37,"ลดลง",IF(O37=L37,"--")))</f>
        <v>เพิ่มขึ้น</v>
      </c>
      <c r="S37" s="505" t="s">
        <v>678</v>
      </c>
      <c r="T37" s="6">
        <v>4</v>
      </c>
      <c r="U37" s="7">
        <f>'[20]ค่าสิทธิการใช้โปรแกรม ปี 70'!$I$202</f>
        <v>8800</v>
      </c>
      <c r="V37" s="5"/>
      <c r="W37" s="580">
        <f>U37</f>
        <v>8800</v>
      </c>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row>
    <row r="38" spans="2:240" s="4" customFormat="1" ht="19.05" customHeight="1" x14ac:dyDescent="0.3">
      <c r="B38" s="600"/>
      <c r="C38" s="395" t="s">
        <v>25</v>
      </c>
      <c r="D38" s="377" t="s">
        <v>363</v>
      </c>
      <c r="E38" s="503" t="s">
        <v>114</v>
      </c>
      <c r="F38" s="727" t="s">
        <v>115</v>
      </c>
      <c r="G38" s="728"/>
      <c r="H38" s="713" t="s">
        <v>116</v>
      </c>
      <c r="I38" s="714"/>
      <c r="J38" s="714"/>
      <c r="K38" s="714"/>
      <c r="L38" s="380">
        <f>'สรุปใช้งบ 31กค'!H33</f>
        <v>23000</v>
      </c>
      <c r="M38" s="41">
        <f>L38</f>
        <v>23000</v>
      </c>
      <c r="N38" s="417">
        <f t="shared" si="1"/>
        <v>1</v>
      </c>
      <c r="O38" s="52">
        <f>'[21]ค่าสิทธิการใช้โปรแกรม ปี 70'!$H$202</f>
        <v>48000</v>
      </c>
      <c r="P38" s="478">
        <f t="shared" si="2"/>
        <v>25000</v>
      </c>
      <c r="Q38" s="422">
        <f t="shared" si="3"/>
        <v>1.0869565217391304</v>
      </c>
      <c r="R38" s="467" t="str">
        <f t="shared" si="6"/>
        <v>เพิ่มขึ้น</v>
      </c>
      <c r="S38" s="433" t="s">
        <v>677</v>
      </c>
      <c r="T38" s="6">
        <v>1</v>
      </c>
      <c r="U38" s="584"/>
      <c r="V38" s="5"/>
      <c r="W38" s="580" t="s">
        <v>693</v>
      </c>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row>
    <row r="39" spans="2:240" s="4" customFormat="1" ht="19.05" customHeight="1" x14ac:dyDescent="0.3">
      <c r="B39" s="600"/>
      <c r="C39" s="395" t="s">
        <v>25</v>
      </c>
      <c r="D39" s="377">
        <v>5031131000</v>
      </c>
      <c r="E39" s="501" t="s">
        <v>118</v>
      </c>
      <c r="F39" s="626" t="s">
        <v>119</v>
      </c>
      <c r="G39" s="627"/>
      <c r="H39" s="654" t="s">
        <v>120</v>
      </c>
      <c r="I39" s="643"/>
      <c r="J39" s="643"/>
      <c r="K39" s="643"/>
      <c r="L39" s="401">
        <f>'สรุปใช้งบ 31กค'!H30</f>
        <v>220000</v>
      </c>
      <c r="M39" s="41">
        <f>'สรุปใช้งบ 31กค'!L30</f>
        <v>60000</v>
      </c>
      <c r="N39" s="417">
        <f t="shared" si="1"/>
        <v>0.27272727272727271</v>
      </c>
      <c r="O39" s="52">
        <f>'[22]2570'!$E$7</f>
        <v>220000</v>
      </c>
      <c r="P39" s="411">
        <f t="shared" si="2"/>
        <v>0</v>
      </c>
      <c r="Q39" s="527">
        <f t="shared" si="3"/>
        <v>0</v>
      </c>
      <c r="R39" s="426" t="str">
        <f t="shared" si="6"/>
        <v>--</v>
      </c>
      <c r="S39" s="438" t="s">
        <v>121</v>
      </c>
      <c r="T39" s="6" t="s">
        <v>24</v>
      </c>
      <c r="U39" s="7">
        <v>0</v>
      </c>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row>
    <row r="40" spans="2:240" s="4" customFormat="1" ht="19.5" customHeight="1" x14ac:dyDescent="0.3">
      <c r="B40" s="387"/>
      <c r="C40" s="486" t="s">
        <v>122</v>
      </c>
      <c r="D40" s="685" t="s">
        <v>123</v>
      </c>
      <c r="E40" s="686"/>
      <c r="F40" s="687"/>
      <c r="G40" s="686"/>
      <c r="H40" s="448" t="s">
        <v>124</v>
      </c>
      <c r="I40" s="449" t="s">
        <v>125</v>
      </c>
      <c r="J40" s="493" t="s">
        <v>126</v>
      </c>
      <c r="K40" s="494" t="s">
        <v>127</v>
      </c>
      <c r="L40" s="403">
        <f>SUM(L41:L82)</f>
        <v>29633600</v>
      </c>
      <c r="M40" s="403">
        <f>SUM(M41:M82)</f>
        <v>25341985</v>
      </c>
      <c r="N40" s="536">
        <f t="shared" si="1"/>
        <v>0.85517739997840292</v>
      </c>
      <c r="O40" s="55">
        <f>SUM(O41:O82)</f>
        <v>26641500</v>
      </c>
      <c r="P40" s="487">
        <f t="shared" si="2"/>
        <v>-2992100</v>
      </c>
      <c r="Q40" s="488">
        <f t="shared" si="3"/>
        <v>-0.10096984504076456</v>
      </c>
      <c r="R40" s="49" t="str">
        <f t="shared" si="6"/>
        <v>ลดลง</v>
      </c>
      <c r="S40" s="884" t="s">
        <v>704</v>
      </c>
      <c r="T40" s="12"/>
      <c r="U40" s="403">
        <f>SUM(U41:U82)</f>
        <v>0</v>
      </c>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row>
    <row r="41" spans="2:240" s="16" customFormat="1" ht="44.55" customHeight="1" x14ac:dyDescent="0.3">
      <c r="B41" s="491" t="s">
        <v>128</v>
      </c>
      <c r="C41" s="395" t="s">
        <v>129</v>
      </c>
      <c r="D41" s="376" t="s">
        <v>130</v>
      </c>
      <c r="E41" s="376" t="s">
        <v>131</v>
      </c>
      <c r="F41" s="722" t="s">
        <v>132</v>
      </c>
      <c r="G41" s="723"/>
      <c r="H41" s="450" t="s">
        <v>20</v>
      </c>
      <c r="I41" s="451">
        <v>0</v>
      </c>
      <c r="J41" s="495">
        <v>1</v>
      </c>
      <c r="K41" s="506">
        <f>ROUNDUP(1630894,-4)</f>
        <v>1640000</v>
      </c>
      <c r="L41" s="402"/>
      <c r="M41" s="41"/>
      <c r="N41" s="417">
        <f t="shared" si="1"/>
        <v>1</v>
      </c>
      <c r="O41" s="56">
        <f t="shared" ref="O41:O70" si="7">K41*J41</f>
        <v>1640000</v>
      </c>
      <c r="P41" s="425">
        <f t="shared" si="2"/>
        <v>1640000</v>
      </c>
      <c r="Q41" s="422">
        <f t="shared" si="3"/>
        <v>1</v>
      </c>
      <c r="R41" s="424" t="str">
        <f t="shared" si="6"/>
        <v>เพิ่มขึ้น</v>
      </c>
      <c r="S41" s="505" t="s">
        <v>633</v>
      </c>
      <c r="T41" s="22"/>
      <c r="U41" s="23"/>
      <c r="V41" s="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row>
    <row r="42" spans="2:240" s="16" customFormat="1" ht="25.05" customHeight="1" x14ac:dyDescent="0.3">
      <c r="B42" s="393" t="s">
        <v>133</v>
      </c>
      <c r="C42" s="395" t="s">
        <v>129</v>
      </c>
      <c r="D42" s="376" t="s">
        <v>130</v>
      </c>
      <c r="E42" s="520" t="s">
        <v>134</v>
      </c>
      <c r="F42" s="662" t="s">
        <v>135</v>
      </c>
      <c r="G42" s="664"/>
      <c r="H42" s="450" t="s">
        <v>20</v>
      </c>
      <c r="I42" s="451">
        <v>0</v>
      </c>
      <c r="J42" s="495">
        <v>1</v>
      </c>
      <c r="K42" s="506">
        <f>ROUNDUP(150000,-4)</f>
        <v>150000</v>
      </c>
      <c r="L42" s="381">
        <v>0</v>
      </c>
      <c r="M42" s="307">
        <v>0</v>
      </c>
      <c r="N42" s="417">
        <f t="shared" si="1"/>
        <v>1</v>
      </c>
      <c r="O42" s="56">
        <f t="shared" si="7"/>
        <v>150000</v>
      </c>
      <c r="P42" s="425">
        <f t="shared" si="2"/>
        <v>150000</v>
      </c>
      <c r="Q42" s="422">
        <f t="shared" si="3"/>
        <v>1</v>
      </c>
      <c r="R42" s="424" t="str">
        <f t="shared" si="6"/>
        <v>เพิ่มขึ้น</v>
      </c>
      <c r="S42" s="433" t="s">
        <v>136</v>
      </c>
      <c r="T42" s="22"/>
      <c r="U42" s="23"/>
      <c r="V42" s="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row>
    <row r="43" spans="2:240" s="16" customFormat="1" ht="25.05" customHeight="1" x14ac:dyDescent="0.3">
      <c r="B43" s="604" t="s">
        <v>137</v>
      </c>
      <c r="C43" s="395" t="s">
        <v>138</v>
      </c>
      <c r="D43" s="593" t="s">
        <v>130</v>
      </c>
      <c r="E43" s="520" t="s">
        <v>139</v>
      </c>
      <c r="F43" s="598" t="s">
        <v>140</v>
      </c>
      <c r="G43" s="599"/>
      <c r="H43" s="450" t="s">
        <v>20</v>
      </c>
      <c r="I43" s="451">
        <v>0</v>
      </c>
      <c r="J43" s="495">
        <v>2</v>
      </c>
      <c r="K43" s="506">
        <f>ROUNDUP((2339000+368508)*110%,-4)</f>
        <v>2980000</v>
      </c>
      <c r="L43" s="381">
        <v>0</v>
      </c>
      <c r="M43" s="307">
        <v>0</v>
      </c>
      <c r="N43" s="417">
        <f t="shared" si="1"/>
        <v>1</v>
      </c>
      <c r="O43" s="56">
        <f>K43*J43</f>
        <v>5960000</v>
      </c>
      <c r="P43" s="425">
        <f t="shared" si="2"/>
        <v>5960000</v>
      </c>
      <c r="Q43" s="422">
        <f t="shared" si="3"/>
        <v>1</v>
      </c>
      <c r="R43" s="424" t="str">
        <f t="shared" si="6"/>
        <v>เพิ่มขึ้น</v>
      </c>
      <c r="S43" s="505" t="s">
        <v>646</v>
      </c>
      <c r="T43" s="22"/>
      <c r="U43" s="23"/>
      <c r="V43" s="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row>
    <row r="44" spans="2:240" s="16" customFormat="1" ht="20.55" customHeight="1" x14ac:dyDescent="0.3">
      <c r="B44" s="604"/>
      <c r="C44" s="395" t="s">
        <v>138</v>
      </c>
      <c r="D44" s="595"/>
      <c r="E44" s="520" t="s">
        <v>141</v>
      </c>
      <c r="F44" s="598" t="s">
        <v>142</v>
      </c>
      <c r="G44" s="599"/>
      <c r="H44" s="450" t="s">
        <v>20</v>
      </c>
      <c r="I44" s="451">
        <v>0</v>
      </c>
      <c r="J44" s="495">
        <v>1</v>
      </c>
      <c r="K44" s="506">
        <f>ROUNDUP((1904000+368508)*110%,-4)</f>
        <v>2500000</v>
      </c>
      <c r="L44" s="381">
        <v>0</v>
      </c>
      <c r="M44" s="307">
        <v>0</v>
      </c>
      <c r="N44" s="417">
        <f t="shared" si="1"/>
        <v>1</v>
      </c>
      <c r="O44" s="56">
        <f t="shared" si="7"/>
        <v>2500000</v>
      </c>
      <c r="P44" s="425">
        <f t="shared" si="2"/>
        <v>2500000</v>
      </c>
      <c r="Q44" s="422">
        <f t="shared" si="3"/>
        <v>1</v>
      </c>
      <c r="R44" s="424" t="str">
        <f t="shared" si="6"/>
        <v>เพิ่มขึ้น</v>
      </c>
      <c r="S44" s="505" t="s">
        <v>647</v>
      </c>
      <c r="T44" s="22"/>
      <c r="U44" s="23"/>
      <c r="V44" s="5"/>
      <c r="W44" s="563">
        <f>P43+P44</f>
        <v>8460000</v>
      </c>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row>
    <row r="45" spans="2:240" s="16" customFormat="1" ht="36.5" customHeight="1" x14ac:dyDescent="0.3">
      <c r="B45" s="499" t="s">
        <v>143</v>
      </c>
      <c r="C45" s="395" t="s">
        <v>129</v>
      </c>
      <c r="D45" s="376" t="s">
        <v>130</v>
      </c>
      <c r="E45" s="520" t="s">
        <v>144</v>
      </c>
      <c r="F45" s="598" t="s">
        <v>145</v>
      </c>
      <c r="G45" s="599"/>
      <c r="H45" s="450">
        <v>1</v>
      </c>
      <c r="I45" s="451">
        <f>'ผลพิ69-สรุป'!I49</f>
        <v>3902400</v>
      </c>
      <c r="J45" s="495">
        <v>1</v>
      </c>
      <c r="K45" s="506">
        <v>1300000</v>
      </c>
      <c r="L45" s="381">
        <f>'สรุปใช้งบ 31กค'!H45</f>
        <v>3902400</v>
      </c>
      <c r="M45" s="307">
        <f>'สรุปใช้งบ 31กค'!L45</f>
        <v>1000000</v>
      </c>
      <c r="N45" s="417">
        <f t="shared" si="1"/>
        <v>0.25625256252562528</v>
      </c>
      <c r="O45" s="56">
        <f>K45*J45</f>
        <v>1300000</v>
      </c>
      <c r="P45" s="413">
        <f t="shared" si="2"/>
        <v>-2602400</v>
      </c>
      <c r="Q45" s="418">
        <f t="shared" si="3"/>
        <v>-0.66687166871668713</v>
      </c>
      <c r="R45" s="442" t="str">
        <f t="shared" si="6"/>
        <v>ลดลง</v>
      </c>
      <c r="S45" s="434" t="s">
        <v>634</v>
      </c>
      <c r="T45" s="22"/>
      <c r="U45" s="23"/>
      <c r="V45" s="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row>
    <row r="46" spans="2:240" s="16" customFormat="1" ht="22.5" customHeight="1" x14ac:dyDescent="0.3">
      <c r="B46" s="397"/>
      <c r="C46" s="395" t="s">
        <v>146</v>
      </c>
      <c r="D46" s="10">
        <v>1800012085</v>
      </c>
      <c r="E46" s="520" t="s">
        <v>148</v>
      </c>
      <c r="F46" s="598" t="str">
        <f>[23]แบบสำรวจอุปกรณ์!$D$22</f>
        <v>อุปกรณ์เคลื่อนย้ายรถ</v>
      </c>
      <c r="G46" s="599"/>
      <c r="H46" s="450" t="s">
        <v>20</v>
      </c>
      <c r="I46" s="451">
        <v>0</v>
      </c>
      <c r="J46" s="495">
        <f>[23]แบบสำรวจอุปกรณ์!$AB$22</f>
        <v>1</v>
      </c>
      <c r="K46" s="506">
        <f>ROUNDUP(23433*110%,-3)</f>
        <v>26000</v>
      </c>
      <c r="L46" s="381">
        <v>0</v>
      </c>
      <c r="M46" s="307">
        <v>0</v>
      </c>
      <c r="N46" s="417">
        <f t="shared" si="1"/>
        <v>1</v>
      </c>
      <c r="O46" s="56">
        <f t="shared" si="7"/>
        <v>26000</v>
      </c>
      <c r="P46" s="425">
        <f t="shared" si="2"/>
        <v>26000</v>
      </c>
      <c r="Q46" s="422">
        <f t="shared" si="3"/>
        <v>1</v>
      </c>
      <c r="R46" s="424" t="str">
        <f t="shared" si="6"/>
        <v>เพิ่มขึ้น</v>
      </c>
      <c r="S46" s="433" t="s">
        <v>635</v>
      </c>
      <c r="T46" s="22"/>
      <c r="U46" s="23"/>
      <c r="V46" s="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E46" s="15"/>
      <c r="GF46" s="15"/>
      <c r="GG46" s="15"/>
      <c r="GH46" s="15"/>
      <c r="GI46" s="15"/>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row>
    <row r="47" spans="2:240" s="16" customFormat="1" ht="33" customHeight="1" x14ac:dyDescent="0.3">
      <c r="B47" s="387"/>
      <c r="C47" s="395" t="s">
        <v>149</v>
      </c>
      <c r="D47" s="10">
        <v>1800009014</v>
      </c>
      <c r="E47" s="520" t="s">
        <v>150</v>
      </c>
      <c r="F47" s="601" t="s">
        <v>684</v>
      </c>
      <c r="G47" s="602"/>
      <c r="H47" s="450" t="s">
        <v>20</v>
      </c>
      <c r="I47" s="451">
        <v>0</v>
      </c>
      <c r="J47" s="495">
        <v>10</v>
      </c>
      <c r="K47" s="587">
        <f>ROUNDUP((18990)*105%,-3)</f>
        <v>20000</v>
      </c>
      <c r="L47" s="381">
        <v>0</v>
      </c>
      <c r="M47" s="307">
        <v>0</v>
      </c>
      <c r="N47" s="417">
        <f t="shared" si="1"/>
        <v>1</v>
      </c>
      <c r="O47" s="573">
        <f>K47*J47</f>
        <v>200000</v>
      </c>
      <c r="P47" s="425">
        <f t="shared" si="2"/>
        <v>200000</v>
      </c>
      <c r="Q47" s="422">
        <f t="shared" si="3"/>
        <v>1</v>
      </c>
      <c r="R47" s="424" t="str">
        <f t="shared" si="6"/>
        <v>เพิ่มขึ้น</v>
      </c>
      <c r="S47" s="433" t="s">
        <v>637</v>
      </c>
      <c r="T47" s="22"/>
      <c r="U47" s="23"/>
      <c r="V47" s="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row>
    <row r="48" spans="2:240" s="16" customFormat="1" ht="21.7" customHeight="1" x14ac:dyDescent="0.3">
      <c r="B48" s="596" t="s">
        <v>668</v>
      </c>
      <c r="C48" s="597" t="s">
        <v>152</v>
      </c>
      <c r="D48" s="593">
        <v>1800009015</v>
      </c>
      <c r="E48" s="692" t="s">
        <v>153</v>
      </c>
      <c r="F48" s="601" t="s">
        <v>154</v>
      </c>
      <c r="G48" s="602"/>
      <c r="H48" s="450" t="s">
        <v>20</v>
      </c>
      <c r="I48" s="451">
        <v>0</v>
      </c>
      <c r="J48" s="495">
        <v>3</v>
      </c>
      <c r="K48" s="506">
        <f>ROUNDUP((25000*107%),-3)</f>
        <v>27000</v>
      </c>
      <c r="L48" s="381">
        <v>0</v>
      </c>
      <c r="M48" s="307">
        <v>0</v>
      </c>
      <c r="N48" s="417">
        <f t="shared" si="1"/>
        <v>1</v>
      </c>
      <c r="O48" s="56">
        <f t="shared" si="7"/>
        <v>81000</v>
      </c>
      <c r="P48" s="425">
        <f t="shared" si="2"/>
        <v>81000</v>
      </c>
      <c r="Q48" s="422">
        <f t="shared" si="3"/>
        <v>1</v>
      </c>
      <c r="R48" s="424" t="str">
        <f t="shared" si="6"/>
        <v>เพิ่มขึ้น</v>
      </c>
      <c r="S48" s="623" t="s">
        <v>667</v>
      </c>
      <c r="T48" s="22"/>
      <c r="U48" s="23"/>
      <c r="V48" s="5"/>
      <c r="W48" s="564">
        <f>SUM(O48:O49)</f>
        <v>162000</v>
      </c>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c r="GM48" s="15"/>
      <c r="GN48" s="15"/>
      <c r="GO48" s="15"/>
      <c r="GP48" s="15"/>
      <c r="GQ48" s="15"/>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row>
    <row r="49" spans="2:240" s="16" customFormat="1" ht="21.7" customHeight="1" x14ac:dyDescent="0.3">
      <c r="B49" s="596"/>
      <c r="C49" s="597"/>
      <c r="D49" s="594"/>
      <c r="E49" s="693"/>
      <c r="F49" s="601" t="s">
        <v>155</v>
      </c>
      <c r="G49" s="602"/>
      <c r="H49" s="450" t="s">
        <v>20</v>
      </c>
      <c r="I49" s="451">
        <v>0</v>
      </c>
      <c r="J49" s="495">
        <v>3</v>
      </c>
      <c r="K49" s="506">
        <f>ROUNDUP((24500*107%),-3)</f>
        <v>27000</v>
      </c>
      <c r="L49" s="381">
        <v>0</v>
      </c>
      <c r="M49" s="307">
        <v>0</v>
      </c>
      <c r="N49" s="417">
        <f t="shared" si="1"/>
        <v>1</v>
      </c>
      <c r="O49" s="56">
        <f t="shared" si="7"/>
        <v>81000</v>
      </c>
      <c r="P49" s="425">
        <f t="shared" si="2"/>
        <v>81000</v>
      </c>
      <c r="Q49" s="422">
        <f t="shared" si="3"/>
        <v>1</v>
      </c>
      <c r="R49" s="424" t="str">
        <f t="shared" si="6"/>
        <v>เพิ่มขึ้น</v>
      </c>
      <c r="S49" s="625"/>
      <c r="T49" s="22"/>
      <c r="U49" s="23"/>
      <c r="V49" s="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5"/>
      <c r="FU49" s="15"/>
      <c r="FV49" s="15"/>
      <c r="FW49" s="15"/>
      <c r="FX49" s="15"/>
      <c r="FY49" s="15"/>
      <c r="FZ49" s="15"/>
      <c r="GA49" s="15"/>
      <c r="GB49" s="15"/>
      <c r="GC49" s="15"/>
      <c r="GD49" s="15"/>
      <c r="GE49" s="15"/>
      <c r="GF49" s="15"/>
      <c r="GG49" s="15"/>
      <c r="GH49" s="15"/>
      <c r="GI49" s="15"/>
      <c r="GJ49" s="15"/>
      <c r="GK49" s="15"/>
      <c r="GL49" s="15"/>
      <c r="GM49" s="15"/>
      <c r="GN49" s="15"/>
      <c r="GO49" s="15"/>
      <c r="GP49" s="15"/>
      <c r="GQ49" s="15"/>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row>
    <row r="50" spans="2:240" s="16" customFormat="1" ht="21.7" customHeight="1" x14ac:dyDescent="0.3">
      <c r="B50" s="596"/>
      <c r="C50" s="597"/>
      <c r="D50" s="595"/>
      <c r="E50" s="693"/>
      <c r="F50" s="601" t="s">
        <v>156</v>
      </c>
      <c r="G50" s="602"/>
      <c r="H50" s="450" t="s">
        <v>20</v>
      </c>
      <c r="I50" s="451">
        <v>0</v>
      </c>
      <c r="J50" s="495">
        <v>4</v>
      </c>
      <c r="K50" s="506">
        <f>ROUNDUP((27500*107%),-3)</f>
        <v>30000</v>
      </c>
      <c r="L50" s="381">
        <v>0</v>
      </c>
      <c r="M50" s="307">
        <v>0</v>
      </c>
      <c r="N50" s="537">
        <f t="shared" si="1"/>
        <v>1</v>
      </c>
      <c r="O50" s="56">
        <f>K50*J50</f>
        <v>120000</v>
      </c>
      <c r="P50" s="507">
        <f t="shared" si="2"/>
        <v>120000</v>
      </c>
      <c r="Q50" s="508">
        <f t="shared" si="3"/>
        <v>1</v>
      </c>
      <c r="R50" s="509" t="str">
        <f t="shared" si="6"/>
        <v>เพิ่มขึ้น</v>
      </c>
      <c r="S50" s="625"/>
      <c r="T50" s="22"/>
      <c r="U50" s="23"/>
      <c r="V50" s="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row>
    <row r="51" spans="2:240" s="16" customFormat="1" ht="21.7" customHeight="1" x14ac:dyDescent="0.3">
      <c r="B51" s="596"/>
      <c r="C51" s="597"/>
      <c r="D51" s="10">
        <v>1800009016</v>
      </c>
      <c r="E51" s="694"/>
      <c r="F51" s="598" t="s">
        <v>157</v>
      </c>
      <c r="G51" s="599"/>
      <c r="H51" s="450">
        <f>10</f>
        <v>10</v>
      </c>
      <c r="I51" s="451">
        <f>'สรุปใช้งบ 31กค'!H44/10</f>
        <v>176550</v>
      </c>
      <c r="J51" s="495">
        <f>5+6</f>
        <v>11</v>
      </c>
      <c r="K51" s="506">
        <f>ROUNDUP((140000*107%),-1)</f>
        <v>149800</v>
      </c>
      <c r="L51" s="381">
        <f>'สรุปใช้งบ 31กค'!H44</f>
        <v>1765500</v>
      </c>
      <c r="M51" s="307">
        <f>'สรุปใช้งบ 31กค'!L44</f>
        <v>1765500</v>
      </c>
      <c r="N51" s="538">
        <f t="shared" si="1"/>
        <v>1</v>
      </c>
      <c r="O51" s="56">
        <f t="shared" ref="O51" si="8">K51*J51</f>
        <v>1647800</v>
      </c>
      <c r="P51" s="479">
        <f t="shared" si="2"/>
        <v>-117700</v>
      </c>
      <c r="Q51" s="510">
        <f t="shared" si="3"/>
        <v>-6.6666666666666652E-2</v>
      </c>
      <c r="R51" s="482" t="str">
        <f t="shared" si="6"/>
        <v>ลดลง</v>
      </c>
      <c r="S51" s="546" t="s">
        <v>638</v>
      </c>
      <c r="T51" s="22"/>
      <c r="U51" s="23"/>
      <c r="V51" s="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row>
    <row r="52" spans="2:240" s="16" customFormat="1" ht="31.5" customHeight="1" x14ac:dyDescent="0.3">
      <c r="B52" s="387"/>
      <c r="C52" s="395" t="s">
        <v>149</v>
      </c>
      <c r="D52" s="10">
        <v>1800009017</v>
      </c>
      <c r="E52" s="520" t="s">
        <v>159</v>
      </c>
      <c r="F52" s="601" t="s">
        <v>639</v>
      </c>
      <c r="G52" s="602"/>
      <c r="H52" s="450" t="s">
        <v>20</v>
      </c>
      <c r="I52" s="451">
        <v>0</v>
      </c>
      <c r="J52" s="495">
        <v>5</v>
      </c>
      <c r="K52" s="506">
        <f>ROUNDUP((59000*105%),-3)</f>
        <v>62000</v>
      </c>
      <c r="L52" s="381">
        <v>0</v>
      </c>
      <c r="M52" s="307">
        <v>0</v>
      </c>
      <c r="N52" s="539">
        <f t="shared" si="1"/>
        <v>1</v>
      </c>
      <c r="O52" s="56">
        <f>K52*J52</f>
        <v>310000</v>
      </c>
      <c r="P52" s="511">
        <f t="shared" si="2"/>
        <v>310000</v>
      </c>
      <c r="Q52" s="512">
        <f t="shared" si="3"/>
        <v>1</v>
      </c>
      <c r="R52" s="513" t="str">
        <f t="shared" si="6"/>
        <v>เพิ่มขึ้น</v>
      </c>
      <c r="S52" s="514" t="s">
        <v>640</v>
      </c>
      <c r="T52" s="22"/>
      <c r="U52" s="23"/>
      <c r="V52" s="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row>
    <row r="53" spans="2:240" s="16" customFormat="1" ht="21.7" customHeight="1" x14ac:dyDescent="0.3">
      <c r="B53" s="387"/>
      <c r="C53" s="395" t="s">
        <v>149</v>
      </c>
      <c r="D53" s="593">
        <v>1800012038</v>
      </c>
      <c r="E53" s="520" t="s">
        <v>160</v>
      </c>
      <c r="F53" s="601" t="s">
        <v>161</v>
      </c>
      <c r="G53" s="602"/>
      <c r="H53" s="450" t="s">
        <v>20</v>
      </c>
      <c r="I53" s="451">
        <v>0</v>
      </c>
      <c r="J53" s="495">
        <v>2</v>
      </c>
      <c r="K53" s="506">
        <f>630000/2</f>
        <v>315000</v>
      </c>
      <c r="L53" s="381">
        <v>0</v>
      </c>
      <c r="M53" s="307">
        <v>0</v>
      </c>
      <c r="N53" s="417">
        <f t="shared" si="1"/>
        <v>1</v>
      </c>
      <c r="O53" s="56">
        <f t="shared" si="7"/>
        <v>630000</v>
      </c>
      <c r="P53" s="425">
        <f t="shared" si="2"/>
        <v>630000</v>
      </c>
      <c r="Q53" s="422">
        <f t="shared" si="3"/>
        <v>1</v>
      </c>
      <c r="R53" s="424" t="str">
        <f t="shared" si="6"/>
        <v>เพิ่มขึ้น</v>
      </c>
      <c r="S53" s="592" t="s">
        <v>641</v>
      </c>
      <c r="T53" s="22"/>
      <c r="U53" s="23"/>
      <c r="V53" s="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row>
    <row r="54" spans="2:240" s="16" customFormat="1" ht="47" customHeight="1" x14ac:dyDescent="0.3">
      <c r="B54" s="393" t="s">
        <v>629</v>
      </c>
      <c r="C54" s="395" t="s">
        <v>149</v>
      </c>
      <c r="D54" s="595"/>
      <c r="E54" s="376" t="s">
        <v>162</v>
      </c>
      <c r="F54" s="697" t="s">
        <v>163</v>
      </c>
      <c r="G54" s="698"/>
      <c r="H54" s="450" t="s">
        <v>20</v>
      </c>
      <c r="I54" s="452">
        <v>0</v>
      </c>
      <c r="J54" s="495">
        <v>25</v>
      </c>
      <c r="K54" s="587">
        <f>O54/J54</f>
        <v>120000</v>
      </c>
      <c r="L54" s="588">
        <v>0</v>
      </c>
      <c r="M54" s="589">
        <v>0</v>
      </c>
      <c r="N54" s="590">
        <f t="shared" si="1"/>
        <v>1</v>
      </c>
      <c r="O54" s="573">
        <v>3000000</v>
      </c>
      <c r="P54" s="425">
        <f t="shared" si="2"/>
        <v>3000000</v>
      </c>
      <c r="Q54" s="591">
        <f t="shared" si="3"/>
        <v>1</v>
      </c>
      <c r="R54" s="49" t="str">
        <f t="shared" si="6"/>
        <v>เพิ่มขึ้น</v>
      </c>
      <c r="S54" s="592" t="s">
        <v>698</v>
      </c>
      <c r="T54" s="22"/>
      <c r="U54" s="23"/>
      <c r="V54" s="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row>
    <row r="55" spans="2:240" s="16" customFormat="1" ht="21.5" customHeight="1" x14ac:dyDescent="0.3">
      <c r="B55" s="397"/>
      <c r="C55" s="395"/>
      <c r="D55" s="593">
        <v>1800009024</v>
      </c>
      <c r="E55" s="692" t="s">
        <v>165</v>
      </c>
      <c r="F55" s="688" t="s">
        <v>694</v>
      </c>
      <c r="G55" s="689"/>
      <c r="H55" s="450" t="s">
        <v>20</v>
      </c>
      <c r="I55" s="451">
        <v>0</v>
      </c>
      <c r="J55" s="495">
        <v>2</v>
      </c>
      <c r="K55" s="506">
        <v>23000</v>
      </c>
      <c r="L55" s="381">
        <v>0</v>
      </c>
      <c r="M55" s="307">
        <v>0</v>
      </c>
      <c r="N55" s="417">
        <f t="shared" ref="N55:N57" si="9">IFERROR(M55/L55,1)</f>
        <v>1</v>
      </c>
      <c r="O55" s="56">
        <f t="shared" ref="O55:O57" si="10">K55*J55</f>
        <v>46000</v>
      </c>
      <c r="P55" s="425">
        <f t="shared" ref="P55:P57" si="11">O55-L55</f>
        <v>46000</v>
      </c>
      <c r="Q55" s="422">
        <f t="shared" ref="Q55:Q57" si="12">IFERROR(O55/L55-1,1)</f>
        <v>1</v>
      </c>
      <c r="R55" s="424"/>
      <c r="S55" s="717" t="s">
        <v>648</v>
      </c>
      <c r="T55" s="22"/>
      <c r="U55" s="23"/>
      <c r="V55" s="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row>
    <row r="56" spans="2:240" s="16" customFormat="1" ht="21.5" customHeight="1" x14ac:dyDescent="0.3">
      <c r="B56" s="397"/>
      <c r="C56" s="395"/>
      <c r="D56" s="594"/>
      <c r="E56" s="693"/>
      <c r="F56" s="688" t="s">
        <v>695</v>
      </c>
      <c r="G56" s="689"/>
      <c r="H56" s="450" t="s">
        <v>20</v>
      </c>
      <c r="I56" s="451">
        <v>0</v>
      </c>
      <c r="J56" s="495">
        <v>2</v>
      </c>
      <c r="K56" s="506">
        <v>30000</v>
      </c>
      <c r="L56" s="381">
        <v>0</v>
      </c>
      <c r="M56" s="307">
        <v>0</v>
      </c>
      <c r="N56" s="417">
        <f t="shared" si="9"/>
        <v>1</v>
      </c>
      <c r="O56" s="56">
        <f t="shared" si="10"/>
        <v>60000</v>
      </c>
      <c r="P56" s="425">
        <f t="shared" si="11"/>
        <v>60000</v>
      </c>
      <c r="Q56" s="422">
        <f t="shared" si="12"/>
        <v>1</v>
      </c>
      <c r="R56" s="424"/>
      <c r="S56" s="625"/>
      <c r="T56" s="22"/>
      <c r="U56" s="23"/>
      <c r="V56" s="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row>
    <row r="57" spans="2:240" s="16" customFormat="1" ht="21.5" customHeight="1" x14ac:dyDescent="0.3">
      <c r="B57" s="397"/>
      <c r="C57" s="395"/>
      <c r="D57" s="595"/>
      <c r="E57" s="694"/>
      <c r="F57" s="688" t="s">
        <v>696</v>
      </c>
      <c r="G57" s="689"/>
      <c r="H57" s="450" t="s">
        <v>20</v>
      </c>
      <c r="I57" s="451">
        <v>0</v>
      </c>
      <c r="J57" s="495">
        <v>2</v>
      </c>
      <c r="K57" s="506">
        <v>34000</v>
      </c>
      <c r="L57" s="381">
        <v>0</v>
      </c>
      <c r="M57" s="307">
        <v>0</v>
      </c>
      <c r="N57" s="417">
        <f t="shared" si="9"/>
        <v>1</v>
      </c>
      <c r="O57" s="56">
        <f t="shared" si="10"/>
        <v>68000</v>
      </c>
      <c r="P57" s="425">
        <f t="shared" si="11"/>
        <v>68000</v>
      </c>
      <c r="Q57" s="422">
        <f t="shared" si="12"/>
        <v>1</v>
      </c>
      <c r="R57" s="424"/>
      <c r="S57" s="624"/>
      <c r="T57" s="22"/>
      <c r="U57" s="23"/>
      <c r="V57" s="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row>
    <row r="58" spans="2:240" s="16" customFormat="1" ht="24" customHeight="1" x14ac:dyDescent="0.3">
      <c r="B58" s="397" t="s">
        <v>167</v>
      </c>
      <c r="C58" s="395" t="s">
        <v>152</v>
      </c>
      <c r="D58" s="10">
        <v>1800009007</v>
      </c>
      <c r="E58" s="520" t="s">
        <v>168</v>
      </c>
      <c r="F58" s="601" t="s">
        <v>169</v>
      </c>
      <c r="G58" s="602"/>
      <c r="H58" s="450">
        <v>1</v>
      </c>
      <c r="I58" s="452">
        <v>1765500</v>
      </c>
      <c r="J58" s="495">
        <v>1</v>
      </c>
      <c r="K58" s="506">
        <f>ROUNDUP((1738750*105%),-4)</f>
        <v>1830000</v>
      </c>
      <c r="L58" s="381">
        <f>'สรุปใช้งบ 31กค'!H48</f>
        <v>1765500</v>
      </c>
      <c r="M58" s="307">
        <f>'สรุปใช้งบ 31กค'!L48</f>
        <v>1760000</v>
      </c>
      <c r="N58" s="417">
        <f t="shared" si="1"/>
        <v>0.99688473520249221</v>
      </c>
      <c r="O58" s="56">
        <f t="shared" si="7"/>
        <v>1830000</v>
      </c>
      <c r="P58" s="425">
        <f t="shared" si="2"/>
        <v>64500</v>
      </c>
      <c r="Q58" s="422">
        <f t="shared" si="3"/>
        <v>3.6533559898045853E-2</v>
      </c>
      <c r="R58" s="424" t="str">
        <f t="shared" si="6"/>
        <v>เพิ่มขึ้น</v>
      </c>
      <c r="S58" s="515" t="s">
        <v>642</v>
      </c>
      <c r="T58" s="22"/>
      <c r="U58" s="23"/>
      <c r="V58" s="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row>
    <row r="59" spans="2:240" s="16" customFormat="1" ht="34.049999999999997" customHeight="1" x14ac:dyDescent="0.3">
      <c r="B59" s="393" t="s">
        <v>629</v>
      </c>
      <c r="C59" s="395" t="s">
        <v>152</v>
      </c>
      <c r="D59" s="10">
        <v>1800009032</v>
      </c>
      <c r="E59" s="585" t="s">
        <v>170</v>
      </c>
      <c r="F59" s="670" t="s">
        <v>171</v>
      </c>
      <c r="G59" s="670"/>
      <c r="H59" s="450" t="s">
        <v>20</v>
      </c>
      <c r="I59" s="451">
        <v>0</v>
      </c>
      <c r="J59" s="495">
        <v>10</v>
      </c>
      <c r="K59" s="506">
        <f>ROUNDUP((1594300*105%),-4)/10</f>
        <v>168000</v>
      </c>
      <c r="L59" s="381">
        <v>0</v>
      </c>
      <c r="M59" s="307">
        <v>0</v>
      </c>
      <c r="N59" s="417">
        <f t="shared" si="1"/>
        <v>1</v>
      </c>
      <c r="O59" s="56">
        <f t="shared" si="7"/>
        <v>1680000</v>
      </c>
      <c r="P59" s="425">
        <f t="shared" si="2"/>
        <v>1680000</v>
      </c>
      <c r="Q59" s="422">
        <f t="shared" si="3"/>
        <v>1</v>
      </c>
      <c r="R59" s="424" t="str">
        <f t="shared" si="6"/>
        <v>เพิ่มขึ้น</v>
      </c>
      <c r="S59" s="505" t="s">
        <v>650</v>
      </c>
      <c r="T59" s="22"/>
      <c r="U59" s="23"/>
      <c r="V59" s="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row>
    <row r="60" spans="2:240" s="16" customFormat="1" ht="26.2" customHeight="1" x14ac:dyDescent="0.3">
      <c r="B60" s="393" t="s">
        <v>172</v>
      </c>
      <c r="C60" s="395" t="s">
        <v>152</v>
      </c>
      <c r="D60" s="593">
        <v>1800009041</v>
      </c>
      <c r="E60" s="520" t="s">
        <v>173</v>
      </c>
      <c r="F60" s="618" t="s">
        <v>685</v>
      </c>
      <c r="G60" s="618"/>
      <c r="H60" s="450" t="s">
        <v>20</v>
      </c>
      <c r="I60" s="451">
        <v>0</v>
      </c>
      <c r="J60" s="495">
        <v>10</v>
      </c>
      <c r="K60" s="506">
        <f>ROUNDUP((10165),-3)</f>
        <v>11000</v>
      </c>
      <c r="L60" s="381">
        <v>0</v>
      </c>
      <c r="M60" s="307">
        <v>0</v>
      </c>
      <c r="N60" s="417">
        <f t="shared" si="1"/>
        <v>1</v>
      </c>
      <c r="O60" s="56">
        <f>K60*J60</f>
        <v>110000</v>
      </c>
      <c r="P60" s="425">
        <f t="shared" si="2"/>
        <v>110000</v>
      </c>
      <c r="Q60" s="422">
        <f t="shared" si="3"/>
        <v>1</v>
      </c>
      <c r="R60" s="424" t="str">
        <f t="shared" si="6"/>
        <v>เพิ่มขึ้น</v>
      </c>
      <c r="S60" s="433" t="s">
        <v>649</v>
      </c>
      <c r="T60" s="22"/>
      <c r="U60" s="23"/>
      <c r="V60" s="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row>
    <row r="61" spans="2:240" s="16" customFormat="1" ht="22.5" customHeight="1" x14ac:dyDescent="0.3">
      <c r="B61" s="600"/>
      <c r="C61" s="395" t="s">
        <v>149</v>
      </c>
      <c r="D61" s="595"/>
      <c r="E61" s="520" t="s">
        <v>175</v>
      </c>
      <c r="F61" s="618" t="s">
        <v>176</v>
      </c>
      <c r="G61" s="618"/>
      <c r="H61" s="450" t="s">
        <v>20</v>
      </c>
      <c r="I61" s="451">
        <v>0</v>
      </c>
      <c r="J61" s="495">
        <v>5</v>
      </c>
      <c r="K61" s="506">
        <f>ROUNDUP((13500*107%)*105%,-3)</f>
        <v>16000</v>
      </c>
      <c r="L61" s="381">
        <v>0</v>
      </c>
      <c r="M61" s="307">
        <v>0</v>
      </c>
      <c r="N61" s="417">
        <f t="shared" si="1"/>
        <v>1</v>
      </c>
      <c r="O61" s="56">
        <f t="shared" si="7"/>
        <v>80000</v>
      </c>
      <c r="P61" s="425">
        <f t="shared" si="2"/>
        <v>80000</v>
      </c>
      <c r="Q61" s="422">
        <f t="shared" si="3"/>
        <v>1</v>
      </c>
      <c r="R61" s="424" t="str">
        <f t="shared" si="6"/>
        <v>เพิ่มขึ้น</v>
      </c>
      <c r="S61" s="623" t="s">
        <v>643</v>
      </c>
      <c r="T61" s="22"/>
      <c r="U61" s="23"/>
      <c r="V61" s="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row>
    <row r="62" spans="2:240" s="16" customFormat="1" ht="22.5" customHeight="1" x14ac:dyDescent="0.3">
      <c r="B62" s="600"/>
      <c r="C62" s="395" t="s">
        <v>149</v>
      </c>
      <c r="D62" s="10" t="s">
        <v>177</v>
      </c>
      <c r="E62" s="520" t="s">
        <v>178</v>
      </c>
      <c r="F62" s="618" t="s">
        <v>179</v>
      </c>
      <c r="G62" s="618"/>
      <c r="H62" s="450" t="s">
        <v>20</v>
      </c>
      <c r="I62" s="451">
        <v>0</v>
      </c>
      <c r="J62" s="495">
        <v>7</v>
      </c>
      <c r="K62" s="506">
        <f>ROUNDUP((22200*107%)*105%,-3)</f>
        <v>25000</v>
      </c>
      <c r="L62" s="381">
        <v>0</v>
      </c>
      <c r="M62" s="307">
        <v>0</v>
      </c>
      <c r="N62" s="417">
        <f t="shared" si="1"/>
        <v>1</v>
      </c>
      <c r="O62" s="56">
        <f t="shared" si="7"/>
        <v>175000</v>
      </c>
      <c r="P62" s="425">
        <f t="shared" si="2"/>
        <v>175000</v>
      </c>
      <c r="Q62" s="422">
        <f t="shared" si="3"/>
        <v>1</v>
      </c>
      <c r="R62" s="424" t="str">
        <f t="shared" si="6"/>
        <v>เพิ่มขึ้น</v>
      </c>
      <c r="S62" s="624"/>
      <c r="T62" s="22"/>
      <c r="U62" s="23"/>
      <c r="V62" s="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row>
    <row r="63" spans="2:240" s="16" customFormat="1" ht="22.5" customHeight="1" x14ac:dyDescent="0.3">
      <c r="B63" s="387"/>
      <c r="C63" s="395" t="s">
        <v>180</v>
      </c>
      <c r="D63" s="10">
        <v>1800016041</v>
      </c>
      <c r="E63" s="376" t="s">
        <v>181</v>
      </c>
      <c r="F63" s="665" t="str">
        <f>[23]แบบสำรวจอุปกรณ์!$D$24</f>
        <v>หมวกกันกระสุน (fast helmet)</v>
      </c>
      <c r="G63" s="666"/>
      <c r="H63" s="450" t="s">
        <v>20</v>
      </c>
      <c r="I63" s="451">
        <v>0</v>
      </c>
      <c r="J63" s="451">
        <v>0</v>
      </c>
      <c r="K63" s="496">
        <f>[23]แบบสำรวจอุปกรณ์!$G$24</f>
        <v>10000</v>
      </c>
      <c r="L63" s="381">
        <v>0</v>
      </c>
      <c r="M63" s="307">
        <v>0</v>
      </c>
      <c r="N63" s="417">
        <f t="shared" si="1"/>
        <v>1</v>
      </c>
      <c r="O63" s="56">
        <f t="shared" si="7"/>
        <v>0</v>
      </c>
      <c r="P63" s="307">
        <f t="shared" si="2"/>
        <v>0</v>
      </c>
      <c r="Q63" s="535">
        <f t="shared" si="2"/>
        <v>0</v>
      </c>
      <c r="R63" s="49" t="str">
        <f t="shared" si="6"/>
        <v>--</v>
      </c>
      <c r="S63" s="534"/>
      <c r="T63" s="22"/>
      <c r="U63" s="23"/>
      <c r="V63" s="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row>
    <row r="64" spans="2:240" s="16" customFormat="1" ht="27.5" customHeight="1" x14ac:dyDescent="0.3">
      <c r="B64" s="600"/>
      <c r="C64" s="395" t="s">
        <v>149</v>
      </c>
      <c r="D64" s="10">
        <v>1800016041</v>
      </c>
      <c r="E64" s="520" t="s">
        <v>182</v>
      </c>
      <c r="F64" s="654" t="s">
        <v>183</v>
      </c>
      <c r="G64" s="654"/>
      <c r="H64" s="450" t="s">
        <v>20</v>
      </c>
      <c r="I64" s="451">
        <v>0</v>
      </c>
      <c r="J64" s="495">
        <v>7</v>
      </c>
      <c r="K64" s="506">
        <f>2156000/7</f>
        <v>308000</v>
      </c>
      <c r="L64" s="381">
        <v>0</v>
      </c>
      <c r="M64" s="307">
        <v>0</v>
      </c>
      <c r="N64" s="417">
        <f t="shared" si="1"/>
        <v>1</v>
      </c>
      <c r="O64" s="56">
        <f t="shared" si="7"/>
        <v>2156000</v>
      </c>
      <c r="P64" s="425">
        <f t="shared" si="2"/>
        <v>2156000</v>
      </c>
      <c r="Q64" s="422">
        <f t="shared" si="3"/>
        <v>1</v>
      </c>
      <c r="R64" s="424" t="str">
        <f t="shared" si="6"/>
        <v>เพิ่มขึ้น</v>
      </c>
      <c r="S64" s="433" t="s">
        <v>644</v>
      </c>
      <c r="T64" s="22"/>
      <c r="U64" s="23"/>
      <c r="V64" s="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row>
    <row r="65" spans="2:240" s="16" customFormat="1" ht="29.55" customHeight="1" x14ac:dyDescent="0.3">
      <c r="B65" s="600"/>
      <c r="C65" s="395" t="s">
        <v>149</v>
      </c>
      <c r="D65" s="10" t="s">
        <v>184</v>
      </c>
      <c r="E65" s="520" t="s">
        <v>185</v>
      </c>
      <c r="F65" s="667" t="s">
        <v>186</v>
      </c>
      <c r="G65" s="667"/>
      <c r="H65" s="450" t="s">
        <v>20</v>
      </c>
      <c r="I65" s="451">
        <v>0</v>
      </c>
      <c r="J65" s="495">
        <v>4</v>
      </c>
      <c r="K65" s="506">
        <f>38000/4</f>
        <v>9500</v>
      </c>
      <c r="L65" s="381">
        <v>0</v>
      </c>
      <c r="M65" s="307">
        <v>0</v>
      </c>
      <c r="N65" s="417">
        <f t="shared" si="1"/>
        <v>1</v>
      </c>
      <c r="O65" s="56">
        <f t="shared" si="7"/>
        <v>38000</v>
      </c>
      <c r="P65" s="425">
        <f t="shared" si="2"/>
        <v>38000</v>
      </c>
      <c r="Q65" s="422">
        <f t="shared" si="3"/>
        <v>1</v>
      </c>
      <c r="R65" s="424" t="str">
        <f t="shared" si="6"/>
        <v>เพิ่มขึ้น</v>
      </c>
      <c r="S65" s="433" t="s">
        <v>632</v>
      </c>
      <c r="T65" s="22"/>
      <c r="U65" s="23"/>
      <c r="V65" s="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row>
    <row r="66" spans="2:240" s="16" customFormat="1" ht="31.5" customHeight="1" x14ac:dyDescent="0.3">
      <c r="B66" s="600"/>
      <c r="C66" s="395" t="s">
        <v>149</v>
      </c>
      <c r="D66" s="10">
        <v>1800011014</v>
      </c>
      <c r="E66" s="520" t="s">
        <v>187</v>
      </c>
      <c r="F66" s="598" t="s">
        <v>188</v>
      </c>
      <c r="G66" s="599"/>
      <c r="H66" s="450" t="s">
        <v>20</v>
      </c>
      <c r="I66" s="451">
        <v>0</v>
      </c>
      <c r="J66" s="495">
        <v>4</v>
      </c>
      <c r="K66" s="506">
        <v>60000</v>
      </c>
      <c r="L66" s="381">
        <v>0</v>
      </c>
      <c r="M66" s="307">
        <v>0</v>
      </c>
      <c r="N66" s="417">
        <f t="shared" si="1"/>
        <v>1</v>
      </c>
      <c r="O66" s="56">
        <f t="shared" si="7"/>
        <v>240000</v>
      </c>
      <c r="P66" s="425">
        <f t="shared" si="2"/>
        <v>240000</v>
      </c>
      <c r="Q66" s="422">
        <f t="shared" si="3"/>
        <v>1</v>
      </c>
      <c r="R66" s="424" t="str">
        <f t="shared" si="6"/>
        <v>เพิ่มขึ้น</v>
      </c>
      <c r="S66" s="433" t="s">
        <v>675</v>
      </c>
      <c r="T66" s="22"/>
      <c r="U66" s="23"/>
      <c r="V66" s="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row>
    <row r="67" spans="2:240" s="16" customFormat="1" ht="22.5" customHeight="1" x14ac:dyDescent="0.3">
      <c r="B67" s="600"/>
      <c r="C67" s="395" t="s">
        <v>180</v>
      </c>
      <c r="D67" s="10" t="s">
        <v>189</v>
      </c>
      <c r="E67" s="520" t="s">
        <v>190</v>
      </c>
      <c r="F67" s="598" t="s">
        <v>191</v>
      </c>
      <c r="G67" s="599"/>
      <c r="H67" s="453">
        <v>1</v>
      </c>
      <c r="I67" s="454">
        <f>'สรุปใช้งบ 31กค'!H36</f>
        <v>38000</v>
      </c>
      <c r="J67" s="497">
        <v>30</v>
      </c>
      <c r="K67" s="516">
        <f>'[24]ราคาครุภัณฑ์ IT ปี 70'!$E$7</f>
        <v>62400</v>
      </c>
      <c r="L67" s="381">
        <f>'สรุปใช้งบ 31กค'!H36</f>
        <v>38000</v>
      </c>
      <c r="M67" s="307">
        <f>L67</f>
        <v>38000</v>
      </c>
      <c r="N67" s="417">
        <f t="shared" si="1"/>
        <v>1</v>
      </c>
      <c r="O67" s="56">
        <f t="shared" si="7"/>
        <v>1872000</v>
      </c>
      <c r="P67" s="425">
        <f t="shared" si="2"/>
        <v>1834000</v>
      </c>
      <c r="Q67" s="422">
        <f t="shared" si="3"/>
        <v>48.263157894736842</v>
      </c>
      <c r="R67" s="424" t="str">
        <f t="shared" si="6"/>
        <v>เพิ่มขึ้น</v>
      </c>
      <c r="S67" s="439" t="s">
        <v>676</v>
      </c>
      <c r="T67" s="24"/>
      <c r="U67" s="23"/>
      <c r="V67" s="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c r="GM67" s="15"/>
      <c r="GN67" s="15"/>
      <c r="GO67" s="15"/>
      <c r="GP67" s="15"/>
      <c r="GQ67" s="15"/>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row>
    <row r="68" spans="2:240" s="16" customFormat="1" ht="22.5" customHeight="1" x14ac:dyDescent="0.3">
      <c r="B68" s="430" t="s">
        <v>192</v>
      </c>
      <c r="C68" s="395"/>
      <c r="D68" s="10" t="s">
        <v>193</v>
      </c>
      <c r="E68" s="520" t="s">
        <v>194</v>
      </c>
      <c r="F68" s="662" t="s">
        <v>195</v>
      </c>
      <c r="G68" s="663"/>
      <c r="H68" s="450" t="s">
        <v>20</v>
      </c>
      <c r="I68" s="451">
        <v>0</v>
      </c>
      <c r="J68" s="495">
        <f>[23]แบบสำรวจอุปกรณ์!$AB$13</f>
        <v>1</v>
      </c>
      <c r="K68" s="506">
        <v>160700</v>
      </c>
      <c r="L68" s="381">
        <v>0</v>
      </c>
      <c r="M68" s="307">
        <v>0</v>
      </c>
      <c r="N68" s="417">
        <f t="shared" si="1"/>
        <v>1</v>
      </c>
      <c r="O68" s="56">
        <f t="shared" si="7"/>
        <v>160700</v>
      </c>
      <c r="P68" s="425">
        <f t="shared" si="2"/>
        <v>160700</v>
      </c>
      <c r="Q68" s="422">
        <f t="shared" si="3"/>
        <v>1</v>
      </c>
      <c r="R68" s="424" t="str">
        <f t="shared" si="6"/>
        <v>เพิ่มขึ้น</v>
      </c>
      <c r="S68" s="439" t="s">
        <v>196</v>
      </c>
      <c r="T68" s="22"/>
      <c r="U68" s="23"/>
      <c r="V68" s="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row>
    <row r="69" spans="2:240" s="16" customFormat="1" ht="22.5" customHeight="1" x14ac:dyDescent="0.3">
      <c r="B69" s="46" t="s">
        <v>197</v>
      </c>
      <c r="C69" s="395" t="s">
        <v>180</v>
      </c>
      <c r="D69" s="10">
        <v>1800016035</v>
      </c>
      <c r="E69" s="547" t="s">
        <v>198</v>
      </c>
      <c r="F69" s="598" t="s">
        <v>686</v>
      </c>
      <c r="G69" s="599"/>
      <c r="H69" s="450" t="s">
        <v>20</v>
      </c>
      <c r="I69" s="451">
        <v>0</v>
      </c>
      <c r="J69" s="495">
        <v>5</v>
      </c>
      <c r="K69" s="506">
        <f>ROUNDUP((363800/5)*105%,-4)</f>
        <v>80000</v>
      </c>
      <c r="L69" s="548">
        <v>0</v>
      </c>
      <c r="M69" s="549">
        <v>0</v>
      </c>
      <c r="N69" s="550">
        <f t="shared" si="1"/>
        <v>1</v>
      </c>
      <c r="O69" s="551">
        <f t="shared" si="7"/>
        <v>400000</v>
      </c>
      <c r="P69" s="425">
        <f t="shared" si="2"/>
        <v>400000</v>
      </c>
      <c r="Q69" s="552">
        <f t="shared" si="3"/>
        <v>1</v>
      </c>
      <c r="R69" s="424" t="str">
        <f t="shared" si="6"/>
        <v>เพิ่มขึ้น</v>
      </c>
      <c r="S69" s="553" t="s">
        <v>671</v>
      </c>
      <c r="T69" s="554"/>
      <c r="U69" s="555"/>
      <c r="V69" s="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c r="GM69" s="15"/>
      <c r="GN69" s="15"/>
      <c r="GO69" s="15"/>
      <c r="GP69" s="15"/>
      <c r="GQ69" s="15"/>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row>
    <row r="70" spans="2:240" s="16" customFormat="1" ht="22.5" customHeight="1" x14ac:dyDescent="0.3">
      <c r="B70" s="46"/>
      <c r="C70" s="395" t="s">
        <v>180</v>
      </c>
      <c r="D70" s="10">
        <v>1800007024</v>
      </c>
      <c r="E70" s="520" t="s">
        <v>201</v>
      </c>
      <c r="F70" s="662" t="s">
        <v>202</v>
      </c>
      <c r="G70" s="664"/>
      <c r="H70" s="450" t="s">
        <v>20</v>
      </c>
      <c r="I70" s="451">
        <v>0</v>
      </c>
      <c r="J70" s="495">
        <f>[23]แบบสำรวจอุปกรณ์!$AB$19</f>
        <v>6</v>
      </c>
      <c r="K70" s="506">
        <v>13333.333333333334</v>
      </c>
      <c r="L70" s="556">
        <v>0</v>
      </c>
      <c r="M70" s="557">
        <v>0</v>
      </c>
      <c r="N70" s="558">
        <f t="shared" si="1"/>
        <v>1</v>
      </c>
      <c r="O70" s="56">
        <f t="shared" si="7"/>
        <v>80000</v>
      </c>
      <c r="P70" s="425">
        <f t="shared" si="2"/>
        <v>80000</v>
      </c>
      <c r="Q70" s="559">
        <f t="shared" si="3"/>
        <v>1</v>
      </c>
      <c r="R70" s="424" t="str">
        <f t="shared" si="6"/>
        <v>เพิ่มขึ้น</v>
      </c>
      <c r="S70" s="560" t="s">
        <v>203</v>
      </c>
      <c r="T70" s="561"/>
      <c r="U70" s="562"/>
      <c r="V70" s="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15"/>
      <c r="HQ70" s="15"/>
      <c r="HR70" s="15"/>
      <c r="HS70" s="15"/>
      <c r="HT70" s="15"/>
      <c r="HU70" s="15"/>
      <c r="HV70" s="15"/>
      <c r="HW70" s="15"/>
      <c r="HX70" s="15"/>
      <c r="HY70" s="15"/>
      <c r="HZ70" s="15"/>
      <c r="IA70" s="15"/>
      <c r="IB70" s="15"/>
      <c r="IC70" s="15"/>
      <c r="ID70" s="15"/>
      <c r="IE70" s="15"/>
      <c r="IF70" s="15"/>
    </row>
    <row r="71" spans="2:240" s="16" customFormat="1" ht="39" customHeight="1" x14ac:dyDescent="0.3">
      <c r="B71" s="387"/>
      <c r="C71" s="395" t="s">
        <v>204</v>
      </c>
      <c r="D71" s="382" t="s">
        <v>205</v>
      </c>
      <c r="E71" s="504" t="s">
        <v>206</v>
      </c>
      <c r="F71" s="605" t="s">
        <v>207</v>
      </c>
      <c r="G71" s="606"/>
      <c r="H71" s="455">
        <v>1</v>
      </c>
      <c r="I71" s="456">
        <f>'สรุปใช้งบ 31กค'!L37</f>
        <v>8000</v>
      </c>
      <c r="J71" s="455" t="s">
        <v>20</v>
      </c>
      <c r="K71" s="457">
        <v>0</v>
      </c>
      <c r="L71" s="390">
        <f>I71</f>
        <v>8000</v>
      </c>
      <c r="M71" s="384">
        <v>8000</v>
      </c>
      <c r="N71" s="468">
        <f t="shared" si="1"/>
        <v>1</v>
      </c>
      <c r="O71" s="385">
        <v>0</v>
      </c>
      <c r="P71" s="388">
        <v>0</v>
      </c>
      <c r="Q71" s="468">
        <f t="shared" ref="Q71:Q83" si="13">IFERROR(O71/L71-1,1)</f>
        <v>-1</v>
      </c>
      <c r="R71" s="49" t="str">
        <f t="shared" si="6"/>
        <v>ลดลง</v>
      </c>
      <c r="S71" s="517" t="str">
        <f>'สรุปใช้งบ 31กค'!S37</f>
        <v>1.รอง ผอ. อนุมัติ PR แล้ว เมื่อ 2 เม.ย. 69
2.คาดว่าจะได้ PC Q4
3.EPR ใหม่ งบจออยู่ที่ส่วนงาน (PC NB ฝทส.จัดหา)</v>
      </c>
      <c r="T71" s="391" t="str">
        <f t="shared" ref="T71:T82" si="14">J71</f>
        <v xml:space="preserve"> --</v>
      </c>
      <c r="U71" s="392">
        <f t="shared" ref="U71:U82" si="15">K71</f>
        <v>0</v>
      </c>
      <c r="V71" s="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15"/>
      <c r="HQ71" s="15"/>
      <c r="HR71" s="15"/>
      <c r="HS71" s="15"/>
      <c r="HT71" s="15"/>
      <c r="HU71" s="15"/>
      <c r="HV71" s="15"/>
      <c r="HW71" s="15"/>
      <c r="HX71" s="15"/>
      <c r="HY71" s="15"/>
      <c r="HZ71" s="15"/>
      <c r="IA71" s="15"/>
      <c r="IB71" s="15"/>
      <c r="IC71" s="15"/>
      <c r="ID71" s="15"/>
      <c r="IE71" s="15"/>
      <c r="IF71" s="15"/>
    </row>
    <row r="72" spans="2:240" s="16" customFormat="1" ht="34.049999999999997" customHeight="1" x14ac:dyDescent="0.3">
      <c r="B72" s="387"/>
      <c r="C72" s="395" t="s">
        <v>204</v>
      </c>
      <c r="D72" s="382" t="s">
        <v>382</v>
      </c>
      <c r="E72" s="504" t="s">
        <v>208</v>
      </c>
      <c r="F72" s="660" t="s">
        <v>209</v>
      </c>
      <c r="G72" s="661"/>
      <c r="H72" s="458">
        <v>21</v>
      </c>
      <c r="I72" s="459">
        <f>L72/H72</f>
        <v>32285.714285714286</v>
      </c>
      <c r="J72" s="455" t="s">
        <v>20</v>
      </c>
      <c r="K72" s="457">
        <v>0</v>
      </c>
      <c r="L72" s="383">
        <f>'สรุปใช้งบ 31กค'!H38</f>
        <v>678000</v>
      </c>
      <c r="M72" s="386">
        <f>'สรุปใช้งบ 31กค'!L38</f>
        <v>0</v>
      </c>
      <c r="N72" s="468">
        <f t="shared" ref="N72:N82" si="16">IFERROR(M72/L72,1)</f>
        <v>0</v>
      </c>
      <c r="O72" s="385">
        <v>0</v>
      </c>
      <c r="P72" s="388">
        <v>0</v>
      </c>
      <c r="Q72" s="468">
        <f t="shared" si="13"/>
        <v>-1</v>
      </c>
      <c r="R72" s="49" t="str">
        <f t="shared" si="6"/>
        <v>ลดลง</v>
      </c>
      <c r="S72" s="517" t="str">
        <f>'สรุปใช้งบ 31กค'!S38</f>
        <v>1.กำลังทำ PR
2.คาดว่าเซ็นสัญญา เดือน ก.ย. 69
3.มีบริษัทน้อย จึงใช้วิธีคัดเลือก</v>
      </c>
      <c r="T72" s="391" t="str">
        <f t="shared" si="14"/>
        <v xml:space="preserve"> --</v>
      </c>
      <c r="U72" s="392">
        <f t="shared" si="15"/>
        <v>0</v>
      </c>
      <c r="V72" s="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c r="GM72" s="15"/>
      <c r="GN72" s="15"/>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15"/>
      <c r="HQ72" s="15"/>
      <c r="HR72" s="15"/>
      <c r="HS72" s="15"/>
      <c r="HT72" s="15"/>
      <c r="HU72" s="15"/>
      <c r="HV72" s="15"/>
      <c r="HW72" s="15"/>
      <c r="HX72" s="15"/>
      <c r="HY72" s="15"/>
      <c r="HZ72" s="15"/>
      <c r="IA72" s="15"/>
      <c r="IB72" s="15"/>
      <c r="IC72" s="15"/>
      <c r="ID72" s="15"/>
      <c r="IE72" s="15"/>
      <c r="IF72" s="15"/>
    </row>
    <row r="73" spans="2:240" s="16" customFormat="1" ht="22.5" customHeight="1" x14ac:dyDescent="0.3">
      <c r="B73" s="600"/>
      <c r="C73" s="395" t="s">
        <v>204</v>
      </c>
      <c r="D73" s="619" t="s">
        <v>387</v>
      </c>
      <c r="E73" s="504" t="s">
        <v>210</v>
      </c>
      <c r="F73" s="660" t="s">
        <v>211</v>
      </c>
      <c r="G73" s="661"/>
      <c r="H73" s="458">
        <v>3</v>
      </c>
      <c r="I73" s="609">
        <f>'สรุปใช้งบ 31กค'!H39</f>
        <v>23000</v>
      </c>
      <c r="J73" s="455" t="s">
        <v>20</v>
      </c>
      <c r="K73" s="457">
        <v>0</v>
      </c>
      <c r="L73" s="611">
        <f>I73</f>
        <v>23000</v>
      </c>
      <c r="M73" s="615">
        <f>'สรุปใช้งบ 31กค'!M39</f>
        <v>0</v>
      </c>
      <c r="N73" s="621">
        <f t="shared" si="16"/>
        <v>0</v>
      </c>
      <c r="O73" s="385">
        <v>0</v>
      </c>
      <c r="P73" s="388">
        <v>0</v>
      </c>
      <c r="Q73" s="468">
        <f t="shared" si="13"/>
        <v>-1</v>
      </c>
      <c r="R73" s="613" t="str">
        <f t="shared" si="6"/>
        <v>ลดลง</v>
      </c>
      <c r="S73" s="607" t="str">
        <f>'สรุปใช้งบ 31กค'!S39</f>
        <v>1.ได้แบบมาพร้อมราคา ทั้งสองอย่าง 
2.รอหารือและเลือกแบบที่ต้องการ
3.คาดว่าได้ของ ปลายเดือน มิ.ย.- ต้น ก.ค. 69</v>
      </c>
      <c r="T73" s="391" t="str">
        <f t="shared" si="14"/>
        <v xml:space="preserve"> --</v>
      </c>
      <c r="U73" s="392">
        <f t="shared" si="15"/>
        <v>0</v>
      </c>
      <c r="V73" s="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row>
    <row r="74" spans="2:240" s="16" customFormat="1" ht="22.5" customHeight="1" x14ac:dyDescent="0.3">
      <c r="B74" s="600"/>
      <c r="C74" s="395" t="s">
        <v>204</v>
      </c>
      <c r="D74" s="620"/>
      <c r="E74" s="504" t="s">
        <v>212</v>
      </c>
      <c r="F74" s="605" t="s">
        <v>213</v>
      </c>
      <c r="G74" s="606"/>
      <c r="H74" s="458">
        <v>1</v>
      </c>
      <c r="I74" s="610"/>
      <c r="J74" s="455" t="s">
        <v>20</v>
      </c>
      <c r="K74" s="457">
        <v>0</v>
      </c>
      <c r="L74" s="612"/>
      <c r="M74" s="616"/>
      <c r="N74" s="622"/>
      <c r="O74" s="385">
        <v>0</v>
      </c>
      <c r="P74" s="388">
        <v>0</v>
      </c>
      <c r="Q74" s="468">
        <f t="shared" si="13"/>
        <v>1</v>
      </c>
      <c r="R74" s="614"/>
      <c r="S74" s="608"/>
      <c r="T74" s="391" t="str">
        <f t="shared" si="14"/>
        <v xml:space="preserve"> --</v>
      </c>
      <c r="U74" s="392">
        <f t="shared" si="15"/>
        <v>0</v>
      </c>
      <c r="V74" s="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GT74" s="15"/>
      <c r="GU74" s="15"/>
      <c r="GV74" s="15"/>
      <c r="GW74" s="15"/>
      <c r="GX74" s="15"/>
      <c r="GY74" s="15"/>
      <c r="GZ74" s="15"/>
      <c r="HA74" s="15"/>
      <c r="HB74" s="15"/>
      <c r="HC74" s="15"/>
      <c r="HD74" s="15"/>
      <c r="HE74" s="15"/>
      <c r="HF74" s="15"/>
      <c r="HG74" s="15"/>
      <c r="HH74" s="15"/>
      <c r="HI74" s="15"/>
      <c r="HJ74" s="15"/>
      <c r="HK74" s="15"/>
      <c r="HL74" s="15"/>
      <c r="HM74" s="15"/>
      <c r="HN74" s="15"/>
      <c r="HO74" s="15"/>
      <c r="HP74" s="15"/>
      <c r="HQ74" s="15"/>
      <c r="HR74" s="15"/>
      <c r="HS74" s="15"/>
      <c r="HT74" s="15"/>
      <c r="HU74" s="15"/>
      <c r="HV74" s="15"/>
      <c r="HW74" s="15"/>
      <c r="HX74" s="15"/>
      <c r="HY74" s="15"/>
      <c r="HZ74" s="15"/>
      <c r="IA74" s="15"/>
      <c r="IB74" s="15"/>
      <c r="IC74" s="15"/>
      <c r="ID74" s="15"/>
      <c r="IE74" s="15"/>
      <c r="IF74" s="15"/>
    </row>
    <row r="75" spans="2:240" s="16" customFormat="1" ht="25.05" customHeight="1" x14ac:dyDescent="0.3">
      <c r="B75" s="600"/>
      <c r="C75" s="395" t="s">
        <v>204</v>
      </c>
      <c r="D75" s="382" t="s">
        <v>393</v>
      </c>
      <c r="E75" s="504" t="s">
        <v>214</v>
      </c>
      <c r="F75" s="660" t="s">
        <v>215</v>
      </c>
      <c r="G75" s="661"/>
      <c r="H75" s="458">
        <v>1</v>
      </c>
      <c r="I75" s="459">
        <f>'สรุปใช้งบ 31กค'!H40</f>
        <v>11000</v>
      </c>
      <c r="J75" s="455" t="s">
        <v>20</v>
      </c>
      <c r="K75" s="457">
        <v>0</v>
      </c>
      <c r="L75" s="379">
        <f>I75</f>
        <v>11000</v>
      </c>
      <c r="M75" s="384">
        <f>'สรุปใช้งบ 31กค'!L40</f>
        <v>0</v>
      </c>
      <c r="N75" s="468">
        <f t="shared" si="16"/>
        <v>0</v>
      </c>
      <c r="O75" s="385">
        <v>0</v>
      </c>
      <c r="P75" s="388">
        <v>0</v>
      </c>
      <c r="Q75" s="468">
        <f t="shared" si="13"/>
        <v>-1</v>
      </c>
      <c r="R75" s="49" t="str">
        <f t="shared" ref="R75:R83" si="17">IF(O75&gt;L75,"เพิ่มขึ้น",IF(O75&lt;L75,"ลดลง",IF(O75=L75,"--")))</f>
        <v>ลดลง</v>
      </c>
      <c r="S75" s="517" t="str">
        <f>'สรุปใช้งบ 31กค'!S40</f>
        <v>อยู่ระหว่างขอใบเสนอราคา 3 ราย 
เพื่อส่งให้ ฝทส.จัดหา</v>
      </c>
      <c r="T75" s="391" t="str">
        <f t="shared" si="14"/>
        <v xml:space="preserve"> --</v>
      </c>
      <c r="U75" s="392">
        <f t="shared" si="15"/>
        <v>0</v>
      </c>
      <c r="V75" s="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c r="HV75" s="15"/>
      <c r="HW75" s="15"/>
      <c r="HX75" s="15"/>
      <c r="HY75" s="15"/>
      <c r="HZ75" s="15"/>
      <c r="IA75" s="15"/>
      <c r="IB75" s="15"/>
      <c r="IC75" s="15"/>
      <c r="ID75" s="15"/>
      <c r="IE75" s="15"/>
      <c r="IF75" s="15"/>
    </row>
    <row r="76" spans="2:240" s="16" customFormat="1" ht="25.05" customHeight="1" x14ac:dyDescent="0.3">
      <c r="B76" s="600"/>
      <c r="C76" s="395" t="s">
        <v>204</v>
      </c>
      <c r="D76" s="382" t="s">
        <v>398</v>
      </c>
      <c r="E76" s="504" t="s">
        <v>216</v>
      </c>
      <c r="F76" s="617" t="s">
        <v>217</v>
      </c>
      <c r="G76" s="617"/>
      <c r="H76" s="458">
        <v>1</v>
      </c>
      <c r="I76" s="459">
        <f>'สรุปใช้งบ 31กค'!H41</f>
        <v>112000</v>
      </c>
      <c r="J76" s="455" t="s">
        <v>20</v>
      </c>
      <c r="K76" s="457">
        <v>0</v>
      </c>
      <c r="L76" s="383">
        <f>I76</f>
        <v>112000</v>
      </c>
      <c r="M76" s="383">
        <f>'สรุปใช้งบ 31กค'!L41</f>
        <v>105000</v>
      </c>
      <c r="N76" s="468">
        <f t="shared" si="16"/>
        <v>0.9375</v>
      </c>
      <c r="O76" s="385">
        <v>0</v>
      </c>
      <c r="P76" s="388">
        <v>0</v>
      </c>
      <c r="Q76" s="468">
        <f t="shared" si="13"/>
        <v>-1</v>
      </c>
      <c r="R76" s="49" t="str">
        <f t="shared" si="17"/>
        <v>ลดลง</v>
      </c>
      <c r="S76" s="517" t="str">
        <f>'สรุปใช้งบ 31กค'!S41</f>
        <v>1.รอง ผอ.อนุมัติ PR แล้ว เมื่อ 6 มิ.ย. 69
2.คาดว่าได้รับของ ปลายเดือน มิ.ย.</v>
      </c>
      <c r="T76" s="391" t="str">
        <f t="shared" si="14"/>
        <v xml:space="preserve"> --</v>
      </c>
      <c r="U76" s="392">
        <f t="shared" si="15"/>
        <v>0</v>
      </c>
      <c r="V76" s="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c r="GO76" s="15"/>
      <c r="GP76" s="15"/>
      <c r="GQ76" s="15"/>
      <c r="GR76" s="15"/>
      <c r="GS76" s="15"/>
      <c r="GT76" s="15"/>
      <c r="GU76" s="15"/>
      <c r="GV76" s="15"/>
      <c r="GW76" s="15"/>
      <c r="GX76" s="15"/>
      <c r="GY76" s="15"/>
      <c r="GZ76" s="15"/>
      <c r="HA76" s="15"/>
      <c r="HB76" s="15"/>
      <c r="HC76" s="15"/>
      <c r="HD76" s="15"/>
      <c r="HE76" s="15"/>
      <c r="HF76" s="15"/>
      <c r="HG76" s="15"/>
      <c r="HH76" s="15"/>
      <c r="HI76" s="15"/>
      <c r="HJ76" s="15"/>
      <c r="HK76" s="15"/>
      <c r="HL76" s="15"/>
      <c r="HM76" s="15"/>
      <c r="HN76" s="15"/>
      <c r="HO76" s="15"/>
      <c r="HP76" s="15"/>
      <c r="HQ76" s="15"/>
      <c r="HR76" s="15"/>
      <c r="HS76" s="15"/>
      <c r="HT76" s="15"/>
      <c r="HU76" s="15"/>
      <c r="HV76" s="15"/>
      <c r="HW76" s="15"/>
      <c r="HX76" s="15"/>
      <c r="HY76" s="15"/>
      <c r="HZ76" s="15"/>
      <c r="IA76" s="15"/>
      <c r="IB76" s="15"/>
      <c r="IC76" s="15"/>
      <c r="ID76" s="15"/>
      <c r="IE76" s="15"/>
      <c r="IF76" s="15"/>
    </row>
    <row r="77" spans="2:240" s="16" customFormat="1" ht="25.05" customHeight="1" x14ac:dyDescent="0.3">
      <c r="B77" s="600"/>
      <c r="C77" s="395" t="s">
        <v>204</v>
      </c>
      <c r="D77" s="382" t="s">
        <v>402</v>
      </c>
      <c r="E77" s="504" t="s">
        <v>218</v>
      </c>
      <c r="F77" s="617" t="s">
        <v>219</v>
      </c>
      <c r="G77" s="617"/>
      <c r="H77" s="455">
        <v>1</v>
      </c>
      <c r="I77" s="460">
        <f>L77</f>
        <v>310000</v>
      </c>
      <c r="J77" s="455" t="s">
        <v>20</v>
      </c>
      <c r="K77" s="457">
        <v>0</v>
      </c>
      <c r="L77" s="379">
        <f>'สรุปใช้งบ 31กค'!H42</f>
        <v>310000</v>
      </c>
      <c r="M77" s="42">
        <f>'สรุปใช้งบ 31กค'!L42</f>
        <v>256800</v>
      </c>
      <c r="N77" s="468">
        <f t="shared" si="16"/>
        <v>0.82838709677419353</v>
      </c>
      <c r="O77" s="385">
        <v>0</v>
      </c>
      <c r="P77" s="388">
        <v>0</v>
      </c>
      <c r="Q77" s="468">
        <f t="shared" si="13"/>
        <v>-1</v>
      </c>
      <c r="R77" s="49" t="str">
        <f t="shared" si="17"/>
        <v>ลดลง</v>
      </c>
      <c r="S77" s="518" t="str">
        <f>'สรุปใช้งบ 31กค'!S42</f>
        <v xml:space="preserve">1.รอง ผอ.อนุมัติ PR แล้ว เมื่อ 27 ก.ค. 69
2.คาดว่าเซ็นสัญญาไม่เกิน เดือน ส.ค. 69 </v>
      </c>
      <c r="T77" s="391" t="str">
        <f t="shared" si="14"/>
        <v xml:space="preserve"> --</v>
      </c>
      <c r="U77" s="392">
        <f t="shared" si="15"/>
        <v>0</v>
      </c>
      <c r="V77" s="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15"/>
      <c r="HQ77" s="15"/>
      <c r="HR77" s="15"/>
      <c r="HS77" s="15"/>
      <c r="HT77" s="15"/>
      <c r="HU77" s="15"/>
      <c r="HV77" s="15"/>
      <c r="HW77" s="15"/>
      <c r="HX77" s="15"/>
      <c r="HY77" s="15"/>
      <c r="HZ77" s="15"/>
      <c r="IA77" s="15"/>
      <c r="IB77" s="15"/>
      <c r="IC77" s="15"/>
      <c r="ID77" s="15"/>
      <c r="IE77" s="15"/>
      <c r="IF77" s="15"/>
    </row>
    <row r="78" spans="2:240" s="16" customFormat="1" ht="25.05" customHeight="1" x14ac:dyDescent="0.3">
      <c r="B78" s="600"/>
      <c r="C78" s="395" t="s">
        <v>204</v>
      </c>
      <c r="D78" s="382" t="s">
        <v>405</v>
      </c>
      <c r="E78" s="504" t="s">
        <v>220</v>
      </c>
      <c r="F78" s="617" t="s">
        <v>221</v>
      </c>
      <c r="G78" s="617"/>
      <c r="H78" s="455">
        <v>7</v>
      </c>
      <c r="I78" s="460">
        <f t="shared" ref="I78:I79" si="18">L78</f>
        <v>56000</v>
      </c>
      <c r="J78" s="455" t="s">
        <v>20</v>
      </c>
      <c r="K78" s="457">
        <v>0</v>
      </c>
      <c r="L78" s="379">
        <f>'สรุปใช้งบ 31กค'!H43</f>
        <v>56000</v>
      </c>
      <c r="M78" s="42">
        <f>'สรุปใช้งบ 31กค'!L43</f>
        <v>48685</v>
      </c>
      <c r="N78" s="468">
        <f t="shared" si="16"/>
        <v>0.86937500000000001</v>
      </c>
      <c r="O78" s="385">
        <v>0</v>
      </c>
      <c r="P78" s="388">
        <v>0</v>
      </c>
      <c r="Q78" s="468">
        <f t="shared" si="13"/>
        <v>-1</v>
      </c>
      <c r="R78" s="49" t="str">
        <f t="shared" si="17"/>
        <v>ลดลง</v>
      </c>
      <c r="S78" s="519" t="str">
        <f>'สรุปใช้งบ 31กค'!S42</f>
        <v xml:space="preserve">1.รอง ผอ.อนุมัติ PR แล้ว เมื่อ 27 ก.ค. 69
2.คาดว่าเซ็นสัญญาไม่เกิน เดือน ส.ค. 69 </v>
      </c>
      <c r="T78" s="391" t="str">
        <f t="shared" si="14"/>
        <v xml:space="preserve"> --</v>
      </c>
      <c r="U78" s="392">
        <f t="shared" si="15"/>
        <v>0</v>
      </c>
      <c r="V78" s="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c r="HN78" s="15"/>
      <c r="HO78" s="15"/>
      <c r="HP78" s="15"/>
      <c r="HQ78" s="15"/>
      <c r="HR78" s="15"/>
      <c r="HS78" s="15"/>
      <c r="HT78" s="15"/>
      <c r="HU78" s="15"/>
      <c r="HV78" s="15"/>
      <c r="HW78" s="15"/>
      <c r="HX78" s="15"/>
      <c r="HY78" s="15"/>
      <c r="HZ78" s="15"/>
      <c r="IA78" s="15"/>
      <c r="IB78" s="15"/>
      <c r="IC78" s="15"/>
      <c r="ID78" s="15"/>
      <c r="IE78" s="15"/>
      <c r="IF78" s="15"/>
    </row>
    <row r="79" spans="2:240" s="16" customFormat="1" ht="36.700000000000003" customHeight="1" x14ac:dyDescent="0.3">
      <c r="B79" s="600"/>
      <c r="C79" s="395" t="s">
        <v>204</v>
      </c>
      <c r="D79" s="382" t="s">
        <v>416</v>
      </c>
      <c r="E79" s="504" t="s">
        <v>222</v>
      </c>
      <c r="F79" s="605" t="s">
        <v>223</v>
      </c>
      <c r="G79" s="606"/>
      <c r="H79" s="455">
        <v>8</v>
      </c>
      <c r="I79" s="460">
        <f t="shared" si="18"/>
        <v>1753800</v>
      </c>
      <c r="J79" s="455" t="s">
        <v>20</v>
      </c>
      <c r="K79" s="457">
        <v>0</v>
      </c>
      <c r="L79" s="379">
        <f>'สรุปใช้งบ 31กค'!H46</f>
        <v>1753800</v>
      </c>
      <c r="M79" s="42">
        <v>1430000</v>
      </c>
      <c r="N79" s="468">
        <f t="shared" si="16"/>
        <v>0.81537233435967615</v>
      </c>
      <c r="O79" s="385">
        <v>0</v>
      </c>
      <c r="P79" s="388">
        <v>0</v>
      </c>
      <c r="Q79" s="468">
        <f t="shared" si="13"/>
        <v>-1</v>
      </c>
      <c r="R79" s="49" t="str">
        <f t="shared" si="17"/>
        <v>ลดลง</v>
      </c>
      <c r="S79" s="519" t="str">
        <f>'สรุปใช้งบ 31กค'!S46</f>
        <v>1.ผอ.อนุมัติ PR แล้ว เมื่อ 15 พ.ค. 69
2.คาดว่าเซ็นสัญญาไม่เกิน เดือน ส.ค. 69 
3.งบเหลือ 3.2 แสนบาท</v>
      </c>
      <c r="T79" s="391" t="str">
        <f t="shared" si="14"/>
        <v xml:space="preserve"> --</v>
      </c>
      <c r="U79" s="392">
        <f t="shared" si="15"/>
        <v>0</v>
      </c>
      <c r="V79" s="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c r="GM79" s="15"/>
      <c r="GN79" s="15"/>
      <c r="GO79" s="15"/>
      <c r="GP79" s="15"/>
      <c r="GQ79" s="15"/>
      <c r="GR79" s="15"/>
      <c r="GS79" s="15"/>
      <c r="GT79" s="15"/>
      <c r="GU79" s="15"/>
      <c r="GV79" s="15"/>
      <c r="GW79" s="15"/>
      <c r="GX79" s="15"/>
      <c r="GY79" s="15"/>
      <c r="GZ79" s="15"/>
      <c r="HA79" s="15"/>
      <c r="HB79" s="15"/>
      <c r="HC79" s="15"/>
      <c r="HD79" s="15"/>
      <c r="HE79" s="15"/>
      <c r="HF79" s="15"/>
      <c r="HG79" s="15"/>
      <c r="HH79" s="15"/>
      <c r="HI79" s="15"/>
      <c r="HJ79" s="15"/>
      <c r="HK79" s="15"/>
      <c r="HL79" s="15"/>
      <c r="HM79" s="15"/>
      <c r="HN79" s="15"/>
      <c r="HO79" s="15"/>
      <c r="HP79" s="15"/>
      <c r="HQ79" s="15"/>
      <c r="HR79" s="15"/>
      <c r="HS79" s="15"/>
      <c r="HT79" s="15"/>
      <c r="HU79" s="15"/>
      <c r="HV79" s="15"/>
      <c r="HW79" s="15"/>
      <c r="HX79" s="15"/>
      <c r="HY79" s="15"/>
      <c r="HZ79" s="15"/>
      <c r="IA79" s="15"/>
      <c r="IB79" s="15"/>
      <c r="IC79" s="15"/>
      <c r="ID79" s="15"/>
      <c r="IE79" s="15"/>
      <c r="IF79" s="15"/>
    </row>
    <row r="80" spans="2:240" s="16" customFormat="1" ht="35.200000000000003" customHeight="1" x14ac:dyDescent="0.3">
      <c r="B80" s="600"/>
      <c r="C80" s="395" t="s">
        <v>204</v>
      </c>
      <c r="D80" s="382" t="s">
        <v>419</v>
      </c>
      <c r="E80" s="504" t="s">
        <v>224</v>
      </c>
      <c r="F80" s="617" t="s">
        <v>225</v>
      </c>
      <c r="G80" s="617"/>
      <c r="H80" s="455">
        <v>1</v>
      </c>
      <c r="I80" s="460">
        <f>'สรุปใช้งบ 31กค'!H47</f>
        <v>13369200</v>
      </c>
      <c r="J80" s="455" t="s">
        <v>20</v>
      </c>
      <c r="K80" s="457">
        <v>0</v>
      </c>
      <c r="L80" s="379">
        <f>'สรุปใช้งบ 31กค'!H47</f>
        <v>13369200</v>
      </c>
      <c r="M80" s="389">
        <f>'สรุปใช้งบ 31กค'!L47</f>
        <v>13100000</v>
      </c>
      <c r="N80" s="468">
        <f t="shared" si="16"/>
        <v>0.97986416539508725</v>
      </c>
      <c r="O80" s="385">
        <v>0</v>
      </c>
      <c r="P80" s="388">
        <v>0</v>
      </c>
      <c r="Q80" s="468">
        <f t="shared" si="13"/>
        <v>-1</v>
      </c>
      <c r="R80" s="49" t="str">
        <f t="shared" si="17"/>
        <v>ลดลง</v>
      </c>
      <c r="S80" s="519" t="str">
        <f>'สรุปใช้งบ 31กค'!S47</f>
        <v>1.ผอ.อนุมัติ PR แล้ว เมื่อ 21 พ.ค. 69
2.คาดว่าเซ็นสัญญาไม่เกิน เดือน ส.ค. 69 
3.งบเหลือ 2.7 แสนบาท</v>
      </c>
      <c r="T80" s="391" t="str">
        <f t="shared" si="14"/>
        <v xml:space="preserve"> --</v>
      </c>
      <c r="U80" s="392">
        <f t="shared" si="15"/>
        <v>0</v>
      </c>
      <c r="V80" s="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c r="EU80" s="15"/>
      <c r="EV80" s="15"/>
      <c r="EW80" s="15"/>
      <c r="EX80" s="15"/>
      <c r="EY80" s="15"/>
      <c r="EZ80" s="15"/>
      <c r="FA80" s="15"/>
      <c r="FB80" s="15"/>
      <c r="FC80" s="15"/>
      <c r="FD80" s="15"/>
      <c r="FE80" s="15"/>
      <c r="FF80" s="15"/>
      <c r="FG80" s="15"/>
      <c r="FH80" s="15"/>
      <c r="FI80" s="15"/>
      <c r="FJ80" s="15"/>
      <c r="FK80" s="15"/>
      <c r="FL80" s="15"/>
      <c r="FM80" s="15"/>
      <c r="FN80" s="15"/>
      <c r="FO80" s="15"/>
      <c r="FP80" s="15"/>
      <c r="FQ80" s="15"/>
      <c r="FR80" s="15"/>
      <c r="FS80" s="15"/>
      <c r="FT80" s="15"/>
      <c r="FU80" s="15"/>
      <c r="FV80" s="15"/>
      <c r="FW80" s="15"/>
      <c r="FX80" s="15"/>
      <c r="FY80" s="15"/>
      <c r="FZ80" s="15"/>
      <c r="GA80" s="15"/>
      <c r="GB80" s="15"/>
      <c r="GC80" s="15"/>
      <c r="GD80" s="15"/>
      <c r="GE80" s="15"/>
      <c r="GF80" s="15"/>
      <c r="GG80" s="15"/>
      <c r="GH80" s="15"/>
      <c r="GI80" s="15"/>
      <c r="GJ80" s="15"/>
      <c r="GK80" s="15"/>
      <c r="GL80" s="15"/>
      <c r="GM80" s="15"/>
      <c r="GN80" s="15"/>
      <c r="GO80" s="15"/>
      <c r="GP80" s="15"/>
      <c r="GQ80" s="15"/>
      <c r="GR80" s="15"/>
      <c r="GS80" s="15"/>
      <c r="GT80" s="15"/>
      <c r="GU80" s="15"/>
      <c r="GV80" s="15"/>
      <c r="GW80" s="15"/>
      <c r="GX80" s="15"/>
      <c r="GY80" s="15"/>
      <c r="GZ80" s="15"/>
      <c r="HA80" s="15"/>
      <c r="HB80" s="15"/>
      <c r="HC80" s="15"/>
      <c r="HD80" s="15"/>
      <c r="HE80" s="15"/>
      <c r="HF80" s="15"/>
      <c r="HG80" s="15"/>
      <c r="HH80" s="15"/>
      <c r="HI80" s="15"/>
      <c r="HJ80" s="15"/>
      <c r="HK80" s="15"/>
      <c r="HL80" s="15"/>
      <c r="HM80" s="15"/>
      <c r="HN80" s="15"/>
      <c r="HO80" s="15"/>
      <c r="HP80" s="15"/>
      <c r="HQ80" s="15"/>
      <c r="HR80" s="15"/>
      <c r="HS80" s="15"/>
      <c r="HT80" s="15"/>
      <c r="HU80" s="15"/>
      <c r="HV80" s="15"/>
      <c r="HW80" s="15"/>
      <c r="HX80" s="15"/>
      <c r="HY80" s="15"/>
      <c r="HZ80" s="15"/>
      <c r="IA80" s="15"/>
      <c r="IB80" s="15"/>
      <c r="IC80" s="15"/>
      <c r="ID80" s="15"/>
      <c r="IE80" s="15"/>
      <c r="IF80" s="15"/>
    </row>
    <row r="81" spans="2:240" s="16" customFormat="1" ht="25.05" customHeight="1" x14ac:dyDescent="0.3">
      <c r="B81" s="600"/>
      <c r="C81" s="395" t="s">
        <v>204</v>
      </c>
      <c r="D81" s="382" t="s">
        <v>424</v>
      </c>
      <c r="E81" s="504" t="s">
        <v>226</v>
      </c>
      <c r="F81" s="660" t="str">
        <f>'สรุปใช้งบ 31กค'!C49</f>
        <v>งานติดตั้งระบบกล้องวงจรปิด CCTV วังบางขุนพรหม วังเทเวศร์ อาคาร 6</v>
      </c>
      <c r="G81" s="661"/>
      <c r="H81" s="455">
        <v>1</v>
      </c>
      <c r="I81" s="461">
        <f>'สรุปใช้งบ 31กค'!H49</f>
        <v>4651200</v>
      </c>
      <c r="J81" s="455" t="s">
        <v>20</v>
      </c>
      <c r="K81" s="457">
        <v>0</v>
      </c>
      <c r="L81" s="379">
        <f>'สรุปใช้งบ 31กค'!H49</f>
        <v>4651200</v>
      </c>
      <c r="M81" s="42">
        <f>'สรุปใช้งบ 31กค'!L49</f>
        <v>4650000</v>
      </c>
      <c r="N81" s="468">
        <f t="shared" si="16"/>
        <v>0.99974200206398345</v>
      </c>
      <c r="O81" s="385">
        <v>0</v>
      </c>
      <c r="P81" s="388">
        <v>0</v>
      </c>
      <c r="Q81" s="468">
        <f t="shared" si="13"/>
        <v>-1</v>
      </c>
      <c r="R81" s="49" t="str">
        <f t="shared" si="17"/>
        <v>ลดลง</v>
      </c>
      <c r="S81" s="519" t="str">
        <f>'สรุปใช้งบ 31กค'!S49</f>
        <v>เสร็จแล้ว ตรวจรับแล้ว 2 เม.ย. 69 /ส่งมอบ 22 มิ.ย. 69</v>
      </c>
      <c r="T81" s="391" t="str">
        <f t="shared" si="14"/>
        <v xml:space="preserve"> --</v>
      </c>
      <c r="U81" s="392">
        <f t="shared" si="15"/>
        <v>0</v>
      </c>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c r="CJ81" s="15"/>
      <c r="CK81" s="15"/>
      <c r="CL81" s="15"/>
      <c r="CM81" s="15"/>
      <c r="CN81" s="15"/>
      <c r="CO81" s="15"/>
      <c r="CP81" s="15"/>
      <c r="CQ81" s="15"/>
      <c r="CR81" s="15"/>
      <c r="CS81" s="15"/>
      <c r="CT81" s="15"/>
      <c r="CU81" s="15"/>
      <c r="CV81" s="15"/>
      <c r="CW81" s="15"/>
      <c r="CX81" s="15"/>
      <c r="CY81" s="15"/>
      <c r="CZ81" s="15"/>
      <c r="DA81" s="15"/>
      <c r="DB81" s="15"/>
      <c r="DC81" s="15"/>
      <c r="DD81" s="15"/>
      <c r="DE81" s="15"/>
      <c r="DF81" s="15"/>
      <c r="DG81" s="15"/>
      <c r="DH81" s="15"/>
      <c r="DI81" s="15"/>
      <c r="DJ81" s="15"/>
      <c r="DK81" s="15"/>
      <c r="DL81" s="15"/>
      <c r="DM81" s="15"/>
      <c r="DN81" s="15"/>
      <c r="DO81" s="15"/>
      <c r="DP81" s="15"/>
      <c r="DQ81" s="15"/>
      <c r="DR81" s="15"/>
      <c r="DS81" s="15"/>
      <c r="DT81" s="15"/>
      <c r="DU81" s="15"/>
      <c r="DV81" s="15"/>
      <c r="DW81" s="15"/>
      <c r="DX81" s="15"/>
      <c r="DY81" s="15"/>
      <c r="DZ81" s="15"/>
      <c r="EA81" s="15"/>
      <c r="EB81" s="15"/>
      <c r="EC81" s="15"/>
      <c r="ED81" s="15"/>
      <c r="EE81" s="15"/>
      <c r="EF81" s="15"/>
      <c r="EG81" s="15"/>
      <c r="EH81" s="15"/>
      <c r="EI81" s="15"/>
      <c r="EJ81" s="15"/>
      <c r="EK81" s="15"/>
      <c r="EL81" s="15"/>
      <c r="EM81" s="15"/>
      <c r="EN81" s="15"/>
      <c r="EO81" s="15"/>
      <c r="EP81" s="15"/>
      <c r="EQ81" s="15"/>
      <c r="ER81" s="15"/>
      <c r="ES81" s="15"/>
      <c r="ET81" s="15"/>
      <c r="EU81" s="15"/>
      <c r="EV81" s="15"/>
      <c r="EW81" s="15"/>
      <c r="EX81" s="15"/>
      <c r="EY81" s="15"/>
      <c r="EZ81" s="15"/>
      <c r="FA81" s="15"/>
      <c r="FB81" s="15"/>
      <c r="FC81" s="15"/>
      <c r="FD81" s="15"/>
      <c r="FE81" s="15"/>
      <c r="FF81" s="15"/>
      <c r="FG81" s="15"/>
      <c r="FH81" s="15"/>
      <c r="FI81" s="15"/>
      <c r="FJ81" s="15"/>
      <c r="FK81" s="15"/>
      <c r="FL81" s="15"/>
      <c r="FM81" s="15"/>
      <c r="FN81" s="15"/>
      <c r="FO81" s="15"/>
      <c r="FP81" s="15"/>
      <c r="FQ81" s="15"/>
      <c r="FR81" s="15"/>
      <c r="FS81" s="15"/>
      <c r="FT81" s="15"/>
      <c r="FU81" s="15"/>
      <c r="FV81" s="15"/>
      <c r="FW81" s="15"/>
      <c r="FX81" s="15"/>
      <c r="FY81" s="15"/>
      <c r="FZ81" s="15"/>
      <c r="GA81" s="15"/>
      <c r="GB81" s="15"/>
      <c r="GC81" s="15"/>
      <c r="GD81" s="15"/>
      <c r="GE81" s="15"/>
      <c r="GF81" s="15"/>
      <c r="GG81" s="15"/>
      <c r="GH81" s="15"/>
      <c r="GI81" s="15"/>
      <c r="GJ81" s="15"/>
      <c r="GK81" s="15"/>
      <c r="GL81" s="15"/>
      <c r="GM81" s="15"/>
      <c r="GN81" s="15"/>
      <c r="GO81" s="15"/>
      <c r="GP81" s="15"/>
      <c r="GQ81" s="15"/>
      <c r="GR81" s="15"/>
      <c r="GS81" s="15"/>
      <c r="GT81" s="15"/>
      <c r="GU81" s="15"/>
      <c r="GV81" s="15"/>
      <c r="GW81" s="15"/>
      <c r="GX81" s="15"/>
      <c r="GY81" s="15"/>
      <c r="GZ81" s="15"/>
      <c r="HA81" s="15"/>
      <c r="HB81" s="15"/>
      <c r="HC81" s="15"/>
      <c r="HD81" s="15"/>
      <c r="HE81" s="15"/>
      <c r="HF81" s="15"/>
      <c r="HG81" s="15"/>
      <c r="HH81" s="15"/>
      <c r="HI81" s="15"/>
      <c r="HJ81" s="15"/>
      <c r="HK81" s="15"/>
      <c r="HL81" s="15"/>
      <c r="HM81" s="15"/>
      <c r="HN81" s="15"/>
      <c r="HO81" s="15"/>
      <c r="HP81" s="15"/>
      <c r="HQ81" s="15"/>
      <c r="HR81" s="15"/>
      <c r="HS81" s="15"/>
      <c r="HT81" s="15"/>
      <c r="HU81" s="15"/>
      <c r="HV81" s="15"/>
      <c r="HW81" s="15"/>
      <c r="HX81" s="15"/>
      <c r="HY81" s="15"/>
      <c r="HZ81" s="15"/>
      <c r="IA81" s="15"/>
      <c r="IB81" s="15"/>
      <c r="IC81" s="15"/>
      <c r="ID81" s="15"/>
      <c r="IE81" s="15"/>
      <c r="IF81" s="15"/>
    </row>
    <row r="82" spans="2:240" s="16" customFormat="1" ht="25.05" customHeight="1" x14ac:dyDescent="0.3">
      <c r="B82" s="600"/>
      <c r="C82" s="395" t="s">
        <v>204</v>
      </c>
      <c r="D82" s="382" t="s">
        <v>427</v>
      </c>
      <c r="E82" s="382" t="s">
        <v>227</v>
      </c>
      <c r="F82" s="660" t="str">
        <f>'สรุปใช้งบ 31กค'!C50</f>
        <v>งานติดตั้งระบบกล้องวงจรปิด CCTV ห้องประชุมส่วนกลางอาคาร 1, 2, 7</v>
      </c>
      <c r="G82" s="661"/>
      <c r="H82" s="455">
        <v>1</v>
      </c>
      <c r="I82" s="461">
        <f>'สรุปใช้งบ 31กค'!H50</f>
        <v>1190000</v>
      </c>
      <c r="J82" s="455" t="s">
        <v>20</v>
      </c>
      <c r="K82" s="457">
        <v>0</v>
      </c>
      <c r="L82" s="404">
        <f>'สรุปใช้งบ 31กค'!H50</f>
        <v>1190000</v>
      </c>
      <c r="M82" s="405">
        <f>'สรุปใช้งบ 31กค'!L50</f>
        <v>1180000</v>
      </c>
      <c r="N82" s="468">
        <f t="shared" si="16"/>
        <v>0.99159663865546221</v>
      </c>
      <c r="O82" s="385">
        <v>0</v>
      </c>
      <c r="P82" s="388">
        <v>0</v>
      </c>
      <c r="Q82" s="468">
        <f t="shared" si="13"/>
        <v>-1</v>
      </c>
      <c r="R82" s="49" t="str">
        <f t="shared" si="17"/>
        <v>ลดลง</v>
      </c>
      <c r="S82" s="519" t="str">
        <f>'สรุปใช้งบ 31กค'!S50</f>
        <v>เสร็จแล้ว ตรวจรับแล้ว 3 ก.พ. 69 /ส่งมอบ 22 ก.พ. 69</v>
      </c>
      <c r="T82" s="391" t="str">
        <f t="shared" si="14"/>
        <v xml:space="preserve"> --</v>
      </c>
      <c r="U82" s="392">
        <f t="shared" si="15"/>
        <v>0</v>
      </c>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c r="CJ82" s="15"/>
      <c r="CK82" s="15"/>
      <c r="CL82" s="15"/>
      <c r="CM82" s="15"/>
      <c r="CN82" s="15"/>
      <c r="CO82" s="15"/>
      <c r="CP82" s="15"/>
      <c r="CQ82" s="15"/>
      <c r="CR82" s="15"/>
      <c r="CS82" s="15"/>
      <c r="CT82" s="15"/>
      <c r="CU82" s="15"/>
      <c r="CV82" s="15"/>
      <c r="CW82" s="15"/>
      <c r="CX82" s="15"/>
      <c r="CY82" s="15"/>
      <c r="CZ82" s="15"/>
      <c r="DA82" s="15"/>
      <c r="DB82" s="15"/>
      <c r="DC82" s="15"/>
      <c r="DD82" s="15"/>
      <c r="DE82" s="15"/>
      <c r="DF82" s="15"/>
      <c r="DG82" s="15"/>
      <c r="DH82" s="15"/>
      <c r="DI82" s="15"/>
      <c r="DJ82" s="15"/>
      <c r="DK82" s="15"/>
      <c r="DL82" s="15"/>
      <c r="DM82" s="15"/>
      <c r="DN82" s="15"/>
      <c r="DO82" s="15"/>
      <c r="DP82" s="15"/>
      <c r="DQ82" s="15"/>
      <c r="DR82" s="15"/>
      <c r="DS82" s="15"/>
      <c r="DT82" s="15"/>
      <c r="DU82" s="15"/>
      <c r="DV82" s="15"/>
      <c r="DW82" s="15"/>
      <c r="DX82" s="15"/>
      <c r="DY82" s="15"/>
      <c r="DZ82" s="15"/>
      <c r="EA82" s="15"/>
      <c r="EB82" s="15"/>
      <c r="EC82" s="15"/>
      <c r="ED82" s="15"/>
      <c r="EE82" s="15"/>
      <c r="EF82" s="15"/>
      <c r="EG82" s="15"/>
      <c r="EH82" s="15"/>
      <c r="EI82" s="15"/>
      <c r="EJ82" s="15"/>
      <c r="EK82" s="15"/>
      <c r="EL82" s="15"/>
      <c r="EM82" s="15"/>
      <c r="EN82" s="15"/>
      <c r="EO82" s="15"/>
      <c r="EP82" s="15"/>
      <c r="EQ82" s="15"/>
      <c r="ER82" s="15"/>
      <c r="ES82" s="15"/>
      <c r="ET82" s="15"/>
      <c r="EU82" s="15"/>
      <c r="EV82" s="15"/>
      <c r="EW82" s="15"/>
      <c r="EX82" s="15"/>
      <c r="EY82" s="15"/>
      <c r="EZ82" s="15"/>
      <c r="FA82" s="15"/>
      <c r="FB82" s="15"/>
      <c r="FC82" s="15"/>
      <c r="FD82" s="15"/>
      <c r="FE82" s="15"/>
      <c r="FF82" s="15"/>
      <c r="FG82" s="15"/>
      <c r="FH82" s="15"/>
      <c r="FI82" s="15"/>
      <c r="FJ82" s="15"/>
      <c r="FK82" s="15"/>
      <c r="FL82" s="15"/>
      <c r="FM82" s="15"/>
      <c r="FN82" s="15"/>
      <c r="FO82" s="15"/>
      <c r="FP82" s="15"/>
      <c r="FQ82" s="15"/>
      <c r="FR82" s="15"/>
      <c r="FS82" s="15"/>
      <c r="FT82" s="15"/>
      <c r="FU82" s="15"/>
      <c r="FV82" s="15"/>
      <c r="FW82" s="15"/>
      <c r="FX82" s="15"/>
      <c r="FY82" s="15"/>
      <c r="FZ82" s="15"/>
      <c r="GA82" s="15"/>
      <c r="GB82" s="15"/>
      <c r="GC82" s="15"/>
      <c r="GD82" s="15"/>
      <c r="GE82" s="15"/>
      <c r="GF82" s="15"/>
      <c r="GG82" s="15"/>
      <c r="GH82" s="15"/>
      <c r="GI82" s="15"/>
      <c r="GJ82" s="15"/>
      <c r="GK82" s="15"/>
      <c r="GL82" s="15"/>
      <c r="GM82" s="15"/>
      <c r="GN82" s="15"/>
      <c r="GO82" s="15"/>
      <c r="GP82" s="15"/>
      <c r="GQ82" s="15"/>
      <c r="GR82" s="15"/>
      <c r="GS82" s="15"/>
      <c r="GT82" s="15"/>
      <c r="GU82" s="15"/>
      <c r="GV82" s="15"/>
      <c r="GW82" s="15"/>
      <c r="GX82" s="15"/>
      <c r="GY82" s="15"/>
      <c r="GZ82" s="15"/>
      <c r="HA82" s="15"/>
      <c r="HB82" s="15"/>
      <c r="HC82" s="15"/>
      <c r="HD82" s="15"/>
      <c r="HE82" s="15"/>
      <c r="HF82" s="15"/>
      <c r="HG82" s="15"/>
      <c r="HH82" s="15"/>
      <c r="HI82" s="15"/>
      <c r="HJ82" s="15"/>
      <c r="HK82" s="15"/>
      <c r="HL82" s="15"/>
      <c r="HM82" s="15"/>
      <c r="HN82" s="15"/>
      <c r="HO82" s="15"/>
      <c r="HP82" s="15"/>
      <c r="HQ82" s="15"/>
      <c r="HR82" s="15"/>
      <c r="HS82" s="15"/>
      <c r="HT82" s="15"/>
      <c r="HU82" s="15"/>
      <c r="HV82" s="15"/>
      <c r="HW82" s="15"/>
      <c r="HX82" s="15"/>
      <c r="HY82" s="15"/>
      <c r="HZ82" s="15"/>
      <c r="IA82" s="15"/>
      <c r="IB82" s="15"/>
      <c r="IC82" s="15"/>
      <c r="ID82" s="15"/>
      <c r="IE82" s="15"/>
      <c r="IF82" s="15"/>
    </row>
    <row r="83" spans="2:240" s="4" customFormat="1" ht="20.2" customHeight="1" thickBot="1" x14ac:dyDescent="0.35">
      <c r="B83" s="46"/>
      <c r="C83" s="396"/>
      <c r="D83" s="668" t="s">
        <v>228</v>
      </c>
      <c r="E83" s="669"/>
      <c r="F83" s="669"/>
      <c r="G83" s="669"/>
      <c r="H83" s="462"/>
      <c r="I83" s="463"/>
      <c r="J83" s="462"/>
      <c r="K83" s="463"/>
      <c r="L83" s="406">
        <f>L5+L40</f>
        <v>109212000</v>
      </c>
      <c r="M83" s="406">
        <f>SUM(M40,M5)</f>
        <v>61945702.033333339</v>
      </c>
      <c r="N83" s="536">
        <f t="shared" ref="N83" si="19">IFERROR(M83/L83,1)</f>
        <v>0.56720600330854976</v>
      </c>
      <c r="O83" s="541">
        <f>SUM(O40,O5)</f>
        <v>110372454.375</v>
      </c>
      <c r="P83" s="542">
        <f>O83-L83</f>
        <v>1160454.375</v>
      </c>
      <c r="Q83" s="543">
        <f t="shared" si="13"/>
        <v>1.062570390616413E-2</v>
      </c>
      <c r="R83" s="544" t="str">
        <f t="shared" si="17"/>
        <v>เพิ่มขึ้น</v>
      </c>
      <c r="S83" s="545" t="s">
        <v>706</v>
      </c>
      <c r="T83" s="11" t="s">
        <v>24</v>
      </c>
      <c r="U83" s="525">
        <f>SUM(U40,U5)</f>
        <v>103563190</v>
      </c>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5"/>
      <c r="CD83" s="5"/>
      <c r="CE83" s="5"/>
      <c r="CF83" s="5"/>
      <c r="CG83" s="5"/>
      <c r="CH83" s="5"/>
      <c r="CI83" s="5"/>
      <c r="CJ83" s="5"/>
      <c r="CK83" s="5"/>
      <c r="CL83" s="5"/>
      <c r="CM83" s="5"/>
      <c r="CN83" s="5"/>
      <c r="CO83" s="5"/>
      <c r="CP83" s="5"/>
      <c r="CQ83" s="5"/>
      <c r="CR83" s="5"/>
      <c r="CS83" s="5"/>
      <c r="CT83" s="5"/>
      <c r="CU83" s="5"/>
      <c r="CV83" s="5"/>
      <c r="CW83" s="5"/>
      <c r="CX83" s="5"/>
      <c r="CY83" s="5"/>
      <c r="CZ83" s="5"/>
      <c r="DA83" s="5"/>
      <c r="DB83" s="5"/>
      <c r="DC83" s="5"/>
      <c r="DD83" s="5"/>
      <c r="DE83" s="5"/>
      <c r="DF83" s="5"/>
      <c r="DG83" s="5"/>
      <c r="DH83" s="5"/>
      <c r="DI83" s="5"/>
      <c r="DJ83" s="5"/>
      <c r="DK83" s="5"/>
      <c r="DL83" s="5"/>
      <c r="DM83" s="5"/>
      <c r="DN83" s="5"/>
      <c r="DO83" s="5"/>
      <c r="DP83" s="5"/>
      <c r="DQ83" s="5"/>
      <c r="DR83" s="5"/>
      <c r="DS83" s="5"/>
      <c r="DT83" s="5"/>
      <c r="DU83" s="5"/>
      <c r="DV83" s="5"/>
      <c r="DW83" s="5"/>
      <c r="DX83" s="5"/>
      <c r="DY83" s="5"/>
      <c r="DZ83" s="5"/>
      <c r="EA83" s="5"/>
      <c r="EB83" s="5"/>
      <c r="EC83" s="5"/>
      <c r="ED83" s="5"/>
      <c r="EE83" s="5"/>
      <c r="EF83" s="5"/>
      <c r="EG83" s="5"/>
      <c r="EH83" s="5"/>
      <c r="EI83" s="5"/>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row>
    <row r="84" spans="2:240" ht="13.9" thickTop="1" x14ac:dyDescent="0.35"/>
    <row r="87" spans="2:240" hidden="1" x14ac:dyDescent="0.35">
      <c r="D87" t="s">
        <v>229</v>
      </c>
    </row>
    <row r="88" spans="2:240" s="16" customFormat="1" ht="22.5" hidden="1" customHeight="1" x14ac:dyDescent="0.35">
      <c r="B88" s="47"/>
      <c r="C88" s="395"/>
      <c r="D88"/>
      <c r="E88" s="408" t="s">
        <v>144</v>
      </c>
      <c r="F88" s="601" t="s">
        <v>230</v>
      </c>
      <c r="G88" s="602"/>
      <c r="H88" s="450" t="s">
        <v>20</v>
      </c>
      <c r="I88" s="450" t="s">
        <v>20</v>
      </c>
      <c r="J88" s="450"/>
      <c r="K88" s="452"/>
      <c r="L88" s="307">
        <v>0</v>
      </c>
      <c r="M88" s="307">
        <v>0</v>
      </c>
      <c r="N88" s="540">
        <f>IFERROR(M88/L88,1)</f>
        <v>1</v>
      </c>
      <c r="O88" s="56">
        <f t="shared" ref="O88" si="20">K88*J88</f>
        <v>0</v>
      </c>
      <c r="P88" s="59">
        <f>O88-L88</f>
        <v>0</v>
      </c>
      <c r="Q88" s="58"/>
      <c r="R88" s="49" t="str">
        <f>IF(O88&gt;L88,"เพิ่มขึ้น",IF(O88&lt;L88,"ลดลง",IF(O88=L88,"--")))</f>
        <v>--</v>
      </c>
      <c r="S88" s="33"/>
      <c r="T88" s="22"/>
      <c r="U88" s="23"/>
      <c r="V88" s="15">
        <v>5</v>
      </c>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c r="CJ88" s="15"/>
      <c r="CK88" s="15"/>
      <c r="CL88" s="15"/>
      <c r="CM88" s="15"/>
      <c r="CN88" s="15"/>
      <c r="CO88" s="15"/>
      <c r="CP88" s="15"/>
      <c r="CQ88" s="15"/>
      <c r="CR88" s="15"/>
      <c r="CS88" s="15"/>
      <c r="CT88" s="15"/>
      <c r="CU88" s="15"/>
      <c r="CV88" s="15"/>
      <c r="CW88" s="15"/>
      <c r="CX88" s="15"/>
      <c r="CY88" s="15"/>
      <c r="CZ88" s="15"/>
      <c r="DA88" s="15"/>
      <c r="DB88" s="15"/>
      <c r="DC88" s="15"/>
      <c r="DD88" s="15"/>
      <c r="DE88" s="15"/>
      <c r="DF88" s="15"/>
      <c r="DG88" s="15"/>
      <c r="DH88" s="15"/>
      <c r="DI88" s="15"/>
      <c r="DJ88" s="15"/>
      <c r="DK88" s="15"/>
      <c r="DL88" s="15"/>
      <c r="DM88" s="15"/>
      <c r="DN88" s="15"/>
      <c r="DO88" s="15"/>
      <c r="DP88" s="15"/>
      <c r="DQ88" s="15"/>
      <c r="DR88" s="15"/>
      <c r="DS88" s="15"/>
      <c r="DT88" s="15"/>
      <c r="DU88" s="15"/>
      <c r="DV88" s="15"/>
      <c r="DW88" s="15"/>
      <c r="DX88" s="15"/>
      <c r="DY88" s="15"/>
      <c r="DZ88" s="15"/>
      <c r="EA88" s="15"/>
      <c r="EB88" s="15"/>
      <c r="EC88" s="15"/>
      <c r="ED88" s="15"/>
      <c r="EE88" s="15"/>
      <c r="EF88" s="15"/>
      <c r="EG88" s="15"/>
      <c r="EH88" s="15"/>
      <c r="EI88" s="15"/>
      <c r="EJ88" s="15"/>
      <c r="EK88" s="15"/>
      <c r="EL88" s="15"/>
      <c r="EM88" s="15"/>
      <c r="EN88" s="15"/>
      <c r="EO88" s="15"/>
      <c r="EP88" s="15"/>
      <c r="EQ88" s="15"/>
      <c r="ER88" s="15"/>
      <c r="ES88" s="15"/>
      <c r="ET88" s="15"/>
      <c r="EU88" s="15"/>
      <c r="EV88" s="15"/>
      <c r="EW88" s="15"/>
      <c r="EX88" s="15"/>
      <c r="EY88" s="15"/>
      <c r="EZ88" s="15"/>
      <c r="FA88" s="15"/>
      <c r="FB88" s="15"/>
      <c r="FC88" s="15"/>
      <c r="FD88" s="15"/>
      <c r="FE88" s="15"/>
      <c r="FF88" s="15"/>
      <c r="FG88" s="15"/>
      <c r="FH88" s="15"/>
      <c r="FI88" s="15"/>
      <c r="FJ88" s="15"/>
      <c r="FK88" s="15"/>
      <c r="FL88" s="15"/>
      <c r="FM88" s="15"/>
      <c r="FN88" s="15"/>
      <c r="FO88" s="15"/>
      <c r="FP88" s="15"/>
      <c r="FQ88" s="15"/>
      <c r="FR88" s="15"/>
      <c r="FS88" s="15"/>
      <c r="FT88" s="15"/>
      <c r="FU88" s="15"/>
      <c r="FV88" s="15"/>
      <c r="FW88" s="15"/>
      <c r="FX88" s="15"/>
      <c r="FY88" s="15"/>
      <c r="FZ88" s="15"/>
      <c r="GA88" s="15"/>
      <c r="GB88" s="15"/>
      <c r="GC88" s="15"/>
      <c r="GD88" s="15"/>
      <c r="GE88" s="15"/>
      <c r="GF88" s="15"/>
      <c r="GG88" s="15"/>
      <c r="GH88" s="15"/>
      <c r="GI88" s="15"/>
      <c r="GJ88" s="15"/>
      <c r="GK88" s="15"/>
      <c r="GL88" s="15"/>
      <c r="GM88" s="15"/>
      <c r="GN88" s="15"/>
      <c r="GO88" s="15"/>
      <c r="GP88" s="15"/>
      <c r="GQ88" s="15"/>
      <c r="GR88" s="15"/>
      <c r="GS88" s="15"/>
      <c r="GT88" s="15"/>
      <c r="GU88" s="15"/>
      <c r="GV88" s="15"/>
      <c r="GW88" s="15"/>
      <c r="GX88" s="15"/>
      <c r="GY88" s="15"/>
      <c r="GZ88" s="15"/>
      <c r="HA88" s="15"/>
      <c r="HB88" s="15"/>
      <c r="HC88" s="15"/>
      <c r="HD88" s="15"/>
      <c r="HE88" s="15"/>
      <c r="HF88" s="15"/>
      <c r="HG88" s="15"/>
      <c r="HH88" s="15"/>
      <c r="HI88" s="15"/>
      <c r="HJ88" s="15"/>
      <c r="HK88" s="15"/>
      <c r="HL88" s="15"/>
      <c r="HM88" s="15"/>
      <c r="HN88" s="15"/>
      <c r="HO88" s="15"/>
      <c r="HP88" s="15"/>
      <c r="HQ88" s="15"/>
      <c r="HR88" s="15"/>
      <c r="HS88" s="15"/>
      <c r="HT88" s="15"/>
      <c r="HU88" s="15"/>
      <c r="HV88" s="15"/>
      <c r="HW88" s="15"/>
      <c r="HX88" s="15"/>
      <c r="HY88" s="15"/>
      <c r="HZ88" s="15"/>
      <c r="IA88" s="15"/>
      <c r="IB88" s="15"/>
      <c r="IC88" s="15"/>
      <c r="ID88" s="15"/>
      <c r="IE88" s="15"/>
      <c r="IF88" s="15"/>
    </row>
  </sheetData>
  <mergeCells count="159">
    <mergeCell ref="H14:K14"/>
    <mergeCell ref="S55:S57"/>
    <mergeCell ref="C17:C19"/>
    <mergeCell ref="C14:C16"/>
    <mergeCell ref="C23:C26"/>
    <mergeCell ref="E48:E51"/>
    <mergeCell ref="F53:G53"/>
    <mergeCell ref="E31:E35"/>
    <mergeCell ref="H25:K25"/>
    <mergeCell ref="H26:K26"/>
    <mergeCell ref="F41:G41"/>
    <mergeCell ref="F29:G29"/>
    <mergeCell ref="F30:G30"/>
    <mergeCell ref="F36:G36"/>
    <mergeCell ref="F37:G37"/>
    <mergeCell ref="F38:G38"/>
    <mergeCell ref="F39:G39"/>
    <mergeCell ref="F31:G35"/>
    <mergeCell ref="H39:K39"/>
    <mergeCell ref="H37:K37"/>
    <mergeCell ref="H38:K38"/>
    <mergeCell ref="H31:K31"/>
    <mergeCell ref="H19:K19"/>
    <mergeCell ref="H18:K18"/>
    <mergeCell ref="D1:U1"/>
    <mergeCell ref="E3:E4"/>
    <mergeCell ref="D3:D4"/>
    <mergeCell ref="H3:K4"/>
    <mergeCell ref="H10:K10"/>
    <mergeCell ref="O3:S3"/>
    <mergeCell ref="T3:U3"/>
    <mergeCell ref="D5:G5"/>
    <mergeCell ref="F6:G6"/>
    <mergeCell ref="H6:K6"/>
    <mergeCell ref="H7:K7"/>
    <mergeCell ref="H8:K8"/>
    <mergeCell ref="L3:N3"/>
    <mergeCell ref="H9:K9"/>
    <mergeCell ref="H17:K17"/>
    <mergeCell ref="H16:K16"/>
    <mergeCell ref="F54:G54"/>
    <mergeCell ref="F72:G72"/>
    <mergeCell ref="H29:K29"/>
    <mergeCell ref="H32:K32"/>
    <mergeCell ref="H34:K34"/>
    <mergeCell ref="H33:K33"/>
    <mergeCell ref="H24:K24"/>
    <mergeCell ref="F57:G57"/>
    <mergeCell ref="F58:G58"/>
    <mergeCell ref="H36:K36"/>
    <mergeCell ref="F27:G27"/>
    <mergeCell ref="H28:K28"/>
    <mergeCell ref="H27:K27"/>
    <mergeCell ref="H30:K30"/>
    <mergeCell ref="F43:G43"/>
    <mergeCell ref="F52:G52"/>
    <mergeCell ref="H23:K23"/>
    <mergeCell ref="B3:B4"/>
    <mergeCell ref="F51:G51"/>
    <mergeCell ref="F48:G48"/>
    <mergeCell ref="F59:G59"/>
    <mergeCell ref="F9:G9"/>
    <mergeCell ref="F3:G4"/>
    <mergeCell ref="F10:G10"/>
    <mergeCell ref="D23:D26"/>
    <mergeCell ref="D31:D35"/>
    <mergeCell ref="E23:E26"/>
    <mergeCell ref="D14:D19"/>
    <mergeCell ref="F50:G50"/>
    <mergeCell ref="F42:G42"/>
    <mergeCell ref="E14:E16"/>
    <mergeCell ref="E17:E19"/>
    <mergeCell ref="D40:G40"/>
    <mergeCell ref="F45:G45"/>
    <mergeCell ref="F49:G49"/>
    <mergeCell ref="F55:G55"/>
    <mergeCell ref="F56:G56"/>
    <mergeCell ref="F28:G28"/>
    <mergeCell ref="D55:D57"/>
    <mergeCell ref="E55:E57"/>
    <mergeCell ref="D53:D54"/>
    <mergeCell ref="F88:G88"/>
    <mergeCell ref="F60:G60"/>
    <mergeCell ref="D60:D61"/>
    <mergeCell ref="F75:G75"/>
    <mergeCell ref="F76:G76"/>
    <mergeCell ref="F77:G77"/>
    <mergeCell ref="F78:G78"/>
    <mergeCell ref="F79:G79"/>
    <mergeCell ref="F81:G81"/>
    <mergeCell ref="F82:G82"/>
    <mergeCell ref="F66:G66"/>
    <mergeCell ref="F68:G68"/>
    <mergeCell ref="F70:G70"/>
    <mergeCell ref="F63:G63"/>
    <mergeCell ref="F65:G65"/>
    <mergeCell ref="F64:G64"/>
    <mergeCell ref="F67:G67"/>
    <mergeCell ref="F73:G73"/>
    <mergeCell ref="D83:G83"/>
    <mergeCell ref="F69:G69"/>
    <mergeCell ref="S48:S50"/>
    <mergeCell ref="B5:B6"/>
    <mergeCell ref="B12:B13"/>
    <mergeCell ref="B14:B15"/>
    <mergeCell ref="B16:B17"/>
    <mergeCell ref="B22:B23"/>
    <mergeCell ref="F12:G12"/>
    <mergeCell ref="F13:G13"/>
    <mergeCell ref="F14:G19"/>
    <mergeCell ref="F20:G20"/>
    <mergeCell ref="F23:G26"/>
    <mergeCell ref="H12:K12"/>
    <mergeCell ref="H13:K13"/>
    <mergeCell ref="H21:K21"/>
    <mergeCell ref="H22:K22"/>
    <mergeCell ref="H20:K20"/>
    <mergeCell ref="H15:K15"/>
    <mergeCell ref="F11:G11"/>
    <mergeCell ref="H11:K11"/>
    <mergeCell ref="D43:D44"/>
    <mergeCell ref="H35:K35"/>
    <mergeCell ref="S18:S19"/>
    <mergeCell ref="S15:S17"/>
    <mergeCell ref="B81:B82"/>
    <mergeCell ref="F71:G71"/>
    <mergeCell ref="S73:S74"/>
    <mergeCell ref="B61:B62"/>
    <mergeCell ref="B64:B65"/>
    <mergeCell ref="B66:B67"/>
    <mergeCell ref="B73:B74"/>
    <mergeCell ref="B75:B76"/>
    <mergeCell ref="I73:I74"/>
    <mergeCell ref="L73:L74"/>
    <mergeCell ref="R73:R74"/>
    <mergeCell ref="M73:M74"/>
    <mergeCell ref="F74:G74"/>
    <mergeCell ref="F80:G80"/>
    <mergeCell ref="F61:G61"/>
    <mergeCell ref="D73:D74"/>
    <mergeCell ref="N73:N74"/>
    <mergeCell ref="S61:S62"/>
    <mergeCell ref="F62:G62"/>
    <mergeCell ref="B77:B78"/>
    <mergeCell ref="B79:B80"/>
    <mergeCell ref="D48:D50"/>
    <mergeCell ref="B48:B51"/>
    <mergeCell ref="C48:C51"/>
    <mergeCell ref="F46:G46"/>
    <mergeCell ref="B24:B25"/>
    <mergeCell ref="B26:B27"/>
    <mergeCell ref="B30:B31"/>
    <mergeCell ref="B32:B33"/>
    <mergeCell ref="B34:B35"/>
    <mergeCell ref="B38:B39"/>
    <mergeCell ref="F44:G44"/>
    <mergeCell ref="F47:G47"/>
    <mergeCell ref="C31:C35"/>
    <mergeCell ref="B43:B44"/>
  </mergeCells>
  <phoneticPr fontId="15" type="noConversion"/>
  <conditionalFormatting sqref="I81:I82 L81:M82">
    <cfRule type="containsText" dxfId="56" priority="58" stopIfTrue="1" operator="containsText" text="เพิ่มขึ้น">
      <formula>NOT(ISERROR(SEARCH("เพิ่มขึ้น",I81)))</formula>
    </cfRule>
    <cfRule type="containsText" dxfId="55" priority="59" stopIfTrue="1" operator="containsText" text="ลดลง">
      <formula>NOT(ISERROR(SEARCH("ลดลง",I81)))</formula>
    </cfRule>
    <cfRule type="containsText" dxfId="54" priority="53" stopIfTrue="1" operator="containsText" text="ลดลง">
      <formula>NOT(ISERROR(SEARCH("ลดลง",I81)))</formula>
    </cfRule>
    <cfRule type="containsText" dxfId="53" priority="54" stopIfTrue="1" operator="containsText" text="เพิ่มขึ้น">
      <formula>NOT(ISERROR(SEARCH("เพิ่มขึ้น",I81)))</formula>
    </cfRule>
    <cfRule type="containsText" dxfId="52" priority="55" stopIfTrue="1" operator="containsText" text="เท่าเดิม">
      <formula>NOT(ISERROR(SEARCH("เท่าเดิม",I81)))</formula>
    </cfRule>
    <cfRule type="containsText" dxfId="51" priority="56" stopIfTrue="1" operator="containsText" text="เพิ่มขึ้น">
      <formula>NOT(ISERROR(SEARCH("เพิ่มขึ้น",I81)))</formula>
    </cfRule>
    <cfRule type="containsText" dxfId="50" priority="57" stopIfTrue="1" operator="containsText" text="ลดลง">
      <formula>NOT(ISERROR(SEARCH("ลดลง",I81)))</formula>
    </cfRule>
  </conditionalFormatting>
  <conditionalFormatting sqref="L75:M82 I81:I82 R2:R73 M2 M4 L6:M39 L41:M73 R75:R83">
    <cfRule type="containsText" dxfId="49" priority="70" stopIfTrue="1" operator="containsText" text="ลดลง">
      <formula>NOT(ISERROR(SEARCH("ลดลง",I2)))</formula>
    </cfRule>
  </conditionalFormatting>
  <conditionalFormatting sqref="L88:M88 R88">
    <cfRule type="containsText" dxfId="48" priority="26" stopIfTrue="1" operator="containsText" text="ลดลง">
      <formula>NOT(ISERROR(SEARCH("ลดลง",L88)))</formula>
    </cfRule>
    <cfRule type="containsText" dxfId="47" priority="21" stopIfTrue="1" operator="containsText" text="เพิ่มขึ้น">
      <formula>NOT(ISERROR(SEARCH("เพิ่มขึ้น",L88)))</formula>
    </cfRule>
    <cfRule type="containsText" dxfId="46" priority="27" stopIfTrue="1" operator="containsText" text="เพิ่มขึ้น">
      <formula>NOT(ISERROR(SEARCH("เพิ่มขึ้น",L88)))</formula>
    </cfRule>
    <cfRule type="containsText" dxfId="45" priority="25" stopIfTrue="1" operator="containsText" text="เพิ่มขึ้น">
      <formula>NOT(ISERROR(SEARCH("เพิ่มขึ้น",L88)))</formula>
    </cfRule>
    <cfRule type="containsText" dxfId="44" priority="20" stopIfTrue="1" operator="containsText" text="ลดลง">
      <formula>NOT(ISERROR(SEARCH("ลดลง",L88)))</formula>
    </cfRule>
    <cfRule type="containsText" dxfId="43" priority="28" stopIfTrue="1" operator="containsText" text="ลดลง">
      <formula>NOT(ISERROR(SEARCH("ลดลง",L88)))</formula>
    </cfRule>
  </conditionalFormatting>
  <conditionalFormatting sqref="M2 R2:R73 M4 L6:M39 L41:M73 L75:M82 R75:R83 I81:I82">
    <cfRule type="containsText" dxfId="42" priority="71" stopIfTrue="1" operator="containsText" text="เพิ่มขึ้น">
      <formula>NOT(ISERROR(SEARCH("เพิ่มขึ้น",I2)))</formula>
    </cfRule>
  </conditionalFormatting>
  <conditionalFormatting sqref="P63:Q63">
    <cfRule type="expression" dxfId="41" priority="10" stopIfTrue="1">
      <formula>$R$5:$R$83=เพิ่มขึ้น</formula>
    </cfRule>
    <cfRule type="expression" dxfId="40" priority="11" stopIfTrue="1">
      <formula>$R$5:$R$83=ลดลง</formula>
    </cfRule>
    <cfRule type="expression" dxfId="39" priority="12" stopIfTrue="1">
      <formula>P63=ลดลง</formula>
    </cfRule>
    <cfRule type="containsText" dxfId="38" priority="1" stopIfTrue="1" operator="containsText" text="ลดลง">
      <formula>NOT(ISERROR(SEARCH("ลดลง",P63)))</formula>
    </cfRule>
    <cfRule type="containsText" dxfId="37" priority="2" stopIfTrue="1" operator="containsText" text="เพิ่มขึ้น">
      <formula>NOT(ISERROR(SEARCH("เพิ่มขึ้น",P63)))</formula>
    </cfRule>
    <cfRule type="containsText" dxfId="36" priority="3" stopIfTrue="1" operator="containsText" text="เท่าเดิม">
      <formula>NOT(ISERROR(SEARCH("เท่าเดิม",P63)))</formula>
    </cfRule>
    <cfRule type="containsText" dxfId="35" priority="4" stopIfTrue="1" operator="containsText" text="เพิ่มขึ้น">
      <formula>NOT(ISERROR(SEARCH("เพิ่มขึ้น",P63)))</formula>
    </cfRule>
    <cfRule type="containsText" dxfId="34" priority="5" stopIfTrue="1" operator="containsText" text="ลดลง">
      <formula>NOT(ISERROR(SEARCH("ลดลง",P63)))</formula>
    </cfRule>
    <cfRule type="containsText" dxfId="33" priority="6" stopIfTrue="1" operator="containsText" text="เพิ่มขึ้น">
      <formula>NOT(ISERROR(SEARCH("เพิ่มขึ้น",P63)))</formula>
    </cfRule>
    <cfRule type="containsText" dxfId="32" priority="7" stopIfTrue="1" operator="containsText" text="ลดลง">
      <formula>NOT(ISERROR(SEARCH("ลดลง",P63)))</formula>
    </cfRule>
    <cfRule type="expression" dxfId="31" priority="8" stopIfTrue="1">
      <formula>$R$5:$R$83=n.a.</formula>
    </cfRule>
    <cfRule type="expression" dxfId="30" priority="9" stopIfTrue="1">
      <formula>$R$5:$R$83=คงเดิม</formula>
    </cfRule>
  </conditionalFormatting>
  <conditionalFormatting sqref="R2:R73 R75:R1048576">
    <cfRule type="expression" dxfId="29" priority="84">
      <formula>เท่าเดิม</formula>
    </cfRule>
  </conditionalFormatting>
  <conditionalFormatting sqref="R5:R73 L6:M39 L41:M73 L75:M82 R75:R83 I81:I82 S21:S23 S27:S28 R88 L88:M88">
    <cfRule type="expression" dxfId="28" priority="107" stopIfTrue="1">
      <formula>$R$5:$R$83=n.a.</formula>
    </cfRule>
  </conditionalFormatting>
  <conditionalFormatting sqref="R5:R73 L6:M39 L41:M73 L75:M82 R75:R83 I81:I82">
    <cfRule type="containsText" dxfId="27" priority="102" stopIfTrue="1" operator="containsText" text="เพิ่มขึ้น">
      <formula>NOT(ISERROR(SEARCH("เพิ่มขึ้น",I5)))</formula>
    </cfRule>
    <cfRule type="containsText" dxfId="26" priority="103" stopIfTrue="1" operator="containsText" text="ลดลง">
      <formula>NOT(ISERROR(SEARCH("ลดลง",I5)))</formula>
    </cfRule>
    <cfRule type="containsText" dxfId="25" priority="104" stopIfTrue="1" operator="containsText" text="เพิ่มขึ้น">
      <formula>NOT(ISERROR(SEARCH("เพิ่มขึ้น",I5)))</formula>
    </cfRule>
    <cfRule type="containsText" dxfId="24" priority="105" stopIfTrue="1" operator="containsText" text="ลดลง">
      <formula>NOT(ISERROR(SEARCH("ลดลง",I5)))</formula>
    </cfRule>
  </conditionalFormatting>
  <conditionalFormatting sqref="R5:R73 L6:M39 S21:S23 S27:S28 L41:M73 L75:M82 R75:R83 I81:I82 L88:M88 R88">
    <cfRule type="expression" dxfId="23" priority="109" stopIfTrue="1">
      <formula>$R$5:$R$83=เพิ่มขึ้น</formula>
    </cfRule>
    <cfRule type="expression" dxfId="22" priority="108" stopIfTrue="1">
      <formula>$R$5:$R$83=คงเดิม</formula>
    </cfRule>
    <cfRule type="expression" dxfId="21" priority="110" stopIfTrue="1">
      <formula>$R$5:$R$83=ลดลง</formula>
    </cfRule>
    <cfRule type="expression" dxfId="20" priority="111" stopIfTrue="1">
      <formula>I5=ลดลง</formula>
    </cfRule>
  </conditionalFormatting>
  <conditionalFormatting sqref="R5:R73 R75:R83 L6:M39 L41:M73 L75:M82 I81:I82">
    <cfRule type="containsText" dxfId="19" priority="101" stopIfTrue="1" operator="containsText" text="เท่าเดิม">
      <formula>NOT(ISERROR(SEARCH("เท่าเดิม",I5)))</formula>
    </cfRule>
  </conditionalFormatting>
  <conditionalFormatting sqref="R6 R9 R13 R16 R19 R22 R25 R28 R31 R34 R37 R40 R43:R70 R72:R73 R76:R82">
    <cfRule type="expression" dxfId="18" priority="82">
      <formula>$R$6=ลดลง</formula>
    </cfRule>
    <cfRule type="expression" dxfId="17" priority="83">
      <formula>$R$6=เพิ่มขึ้น</formula>
    </cfRule>
  </conditionalFormatting>
  <conditionalFormatting sqref="R49:R50">
    <cfRule type="expression" dxfId="16" priority="52">
      <formula>$R$6=เพิ่มขึ้น</formula>
    </cfRule>
    <cfRule type="expression" dxfId="15" priority="51">
      <formula>$R$6=ลดลง</formula>
    </cfRule>
  </conditionalFormatting>
  <conditionalFormatting sqref="R88 L88:M88">
    <cfRule type="containsText" dxfId="14" priority="24" stopIfTrue="1" operator="containsText" text="เท่าเดิม">
      <formula>NOT(ISERROR(SEARCH("เท่าเดิม",L88)))</formula>
    </cfRule>
  </conditionalFormatting>
  <conditionalFormatting sqref="R88">
    <cfRule type="expression" dxfId="13" priority="23">
      <formula>$R$6=เพิ่มขึ้น</formula>
    </cfRule>
    <cfRule type="expression" dxfId="12" priority="22">
      <formula>$R$6=ลดลง</formula>
    </cfRule>
  </conditionalFormatting>
  <conditionalFormatting sqref="S21:S39">
    <cfRule type="containsText" dxfId="11" priority="95" stopIfTrue="1" operator="containsText" text="เพิ่มขึ้น">
      <formula>NOT(ISERROR(SEARCH("เพิ่มขึ้น",S21)))</formula>
    </cfRule>
    <cfRule type="containsText" dxfId="10" priority="96" stopIfTrue="1" operator="containsText" text="ลดลง">
      <formula>NOT(ISERROR(SEARCH("ลดลง",S21)))</formula>
    </cfRule>
    <cfRule type="containsText" dxfId="9" priority="97" stopIfTrue="1" operator="containsText" text="เพิ่มขึ้น">
      <formula>NOT(ISERROR(SEARCH("เพิ่มขึ้น",S21)))</formula>
    </cfRule>
    <cfRule type="containsText" dxfId="8" priority="98" stopIfTrue="1" operator="containsText" text="ลดลง">
      <formula>NOT(ISERROR(SEARCH("ลดลง",S21)))</formula>
    </cfRule>
    <cfRule type="containsText" dxfId="7" priority="92" stopIfTrue="1" operator="containsText" text="ลดลง">
      <formula>NOT(ISERROR(SEARCH("ลดลง",S21)))</formula>
    </cfRule>
    <cfRule type="containsText" dxfId="6" priority="93" stopIfTrue="1" operator="containsText" text="เพิ่มขึ้น">
      <formula>NOT(ISERROR(SEARCH("เพิ่มขึ้น",S21)))</formula>
    </cfRule>
    <cfRule type="containsText" dxfId="5" priority="94" stopIfTrue="1" operator="containsText" text="เท่าเดิม">
      <formula>NOT(ISERROR(SEARCH("เท่าเดิม",S21)))</formula>
    </cfRule>
  </conditionalFormatting>
  <conditionalFormatting sqref="S32">
    <cfRule type="expression" dxfId="4" priority="295" stopIfTrue="1">
      <formula>$R$5:$R$83=n.a.</formula>
    </cfRule>
    <cfRule type="expression" dxfId="3" priority="296" stopIfTrue="1">
      <formula>$R$5:$R$83=คงเดิม</formula>
    </cfRule>
    <cfRule type="expression" dxfId="2" priority="297" stopIfTrue="1">
      <formula>$R$5:$R$83=เพิ่มขึ้น</formula>
    </cfRule>
    <cfRule type="expression" dxfId="1" priority="298" stopIfTrue="1">
      <formula>$R$5:$R$83=ลดลง</formula>
    </cfRule>
    <cfRule type="expression" dxfId="0" priority="299" stopIfTrue="1">
      <formula>S32=ลดลง</formula>
    </cfRule>
  </conditionalFormatting>
  <hyperlinks>
    <hyperlink ref="D51" r:id="rId1" display="C2" xr:uid="{5B75D4D6-53F2-441C-AE22-FF9765AC4DA9}"/>
    <hyperlink ref="E48:E51" r:id="rId2" display="B8" xr:uid="{6AF09C55-BE3E-4B58-8A5A-68FF6D25AF60}"/>
    <hyperlink ref="E8" r:id="rId3" xr:uid="{17F2F1F6-67F4-45C6-8977-F28962885C8D}"/>
    <hyperlink ref="E7" r:id="rId4" xr:uid="{83F1CFAF-4F9E-4C2B-B084-163BEB0C5ED5}"/>
    <hyperlink ref="E9" r:id="rId5" xr:uid="{619D5667-B7B0-4A24-9ECA-6FC1EB0E6203}"/>
    <hyperlink ref="E10" r:id="rId6" xr:uid="{9CBC026D-947D-4BFE-B637-6989FB2C504F}"/>
    <hyperlink ref="E12" r:id="rId7" xr:uid="{A79B0D02-5BE6-4D27-A617-EDC7F6A6C39E}"/>
    <hyperlink ref="E13" r:id="rId8" xr:uid="{7797199A-4463-403B-9776-43C0F6CD299B}"/>
    <hyperlink ref="E14:E16" r:id="rId9" display="A6-1 (ปี69)" xr:uid="{69A78A41-F839-42AF-9CF5-BCADB7377E99}"/>
    <hyperlink ref="E17:E19" r:id="rId10" display="A6-2 (ปี70)" xr:uid="{64D41BCF-777F-48FD-BC80-BBC38BBCAED6}"/>
    <hyperlink ref="E21" r:id="rId11" xr:uid="{7E1817DA-580B-4169-AC4E-05DB5938BB19}"/>
    <hyperlink ref="E23:E26" r:id="rId12" display="A8" xr:uid="{38CBD2A4-6D64-4A88-A755-77F378260C77}"/>
    <hyperlink ref="E27" r:id="rId13" xr:uid="{5CBCA7DD-24BF-4B81-9911-541A438B844D}"/>
    <hyperlink ref="E28" r:id="rId14" xr:uid="{97655876-1A98-472D-9FBF-D7889C70215A}"/>
    <hyperlink ref="E29" r:id="rId15" xr:uid="{479AD4CA-FD38-49A8-8B88-C1248CA6FC60}"/>
    <hyperlink ref="E30" r:id="rId16" xr:uid="{EE6B73EA-E398-4AAD-88FE-7B5D123FD3F1}"/>
    <hyperlink ref="E31:E35" r:id="rId17" display="A13" xr:uid="{7BA465D9-9BE5-4B57-BC14-87839B0B37C4}"/>
    <hyperlink ref="E36" r:id="rId18" xr:uid="{2F6CB684-98DB-4B09-8DBA-9AFD76A9DC72}"/>
    <hyperlink ref="E39" r:id="rId19" xr:uid="{4FA6388C-C21E-48B3-8B62-FC5D781661FE}"/>
    <hyperlink ref="E37" r:id="rId20" xr:uid="{9ED4B43E-BF30-472A-B277-8FECCDF55C47}"/>
    <hyperlink ref="E38" r:id="rId21" xr:uid="{0440B4B7-0FFF-4343-B7AA-6145A7EB0425}"/>
    <hyperlink ref="E22" r:id="rId22" xr:uid="{67EC48B6-F259-4DB8-B919-E6E7EF8801CB}"/>
    <hyperlink ref="E11" r:id="rId23" xr:uid="{1E80FDC7-3968-4E12-B63A-B825A7BB4CCF}"/>
    <hyperlink ref="E43" r:id="rId24" xr:uid="{157B701B-1B0D-4250-AAB5-C90FF79CC7EF}"/>
    <hyperlink ref="E44" r:id="rId25" xr:uid="{28A26AEC-9C4F-4DA4-9987-085A34745998}"/>
    <hyperlink ref="E45" r:id="rId26" xr:uid="{63ABE9B0-47C7-4E72-A834-C5B807075045}"/>
    <hyperlink ref="E46" r:id="rId27" xr:uid="{202EBFD6-C91F-4F99-AD21-5FB103D12C9E}"/>
    <hyperlink ref="E47" r:id="rId28" xr:uid="{0BA22F18-863F-4777-9E8E-C42292F228BD}"/>
    <hyperlink ref="E52" r:id="rId29" xr:uid="{733FA7AC-7B34-4A03-AF57-49D436724A1D}"/>
    <hyperlink ref="E53" r:id="rId30" xr:uid="{4A4C9457-FA28-4256-AE7D-B29A9B6B9E7F}"/>
    <hyperlink ref="E58" r:id="rId31" xr:uid="{C53C7887-D75F-4228-9EA9-A040E6606AE1}"/>
    <hyperlink ref="E60" r:id="rId32" xr:uid="{254C4269-9FCD-433C-93BC-63F6EBD9185D}"/>
    <hyperlink ref="E61" r:id="rId33" xr:uid="{AB64EA97-E5A0-45B2-A836-89FEE2961FBF}"/>
    <hyperlink ref="E62" r:id="rId34" xr:uid="{E5235E73-44FB-4CBC-A232-AE371803136E}"/>
    <hyperlink ref="E64" r:id="rId35" xr:uid="{03576ADA-C648-48BD-B989-6BEFDF109025}"/>
    <hyperlink ref="E65" r:id="rId36" xr:uid="{202AFB83-600E-4D0A-9C8D-A29A1DF29089}"/>
    <hyperlink ref="E66" r:id="rId37" xr:uid="{5762559E-1AE1-498D-B049-E4CA2F3934A2}"/>
    <hyperlink ref="E67" r:id="rId38" xr:uid="{2A3DFECF-94F2-47AC-A011-41F0963EBEE7}"/>
    <hyperlink ref="E68" r:id="rId39" xr:uid="{6820AFF4-8D04-4547-9DDC-03219F7B0223}"/>
    <hyperlink ref="E69" r:id="rId40" xr:uid="{53FE4916-AE02-4E2B-B174-FB577C8A1A87}"/>
    <hyperlink ref="E70" r:id="rId41" xr:uid="{3C7011EB-617F-4DD6-B807-0FEB1D9DEFB7}"/>
    <hyperlink ref="E42" r:id="rId42" xr:uid="{96FFF57A-23CF-4F11-99B4-D0F5B3226E26}"/>
    <hyperlink ref="E59" r:id="rId43" xr:uid="{045DA9A9-5476-4CE2-A0C3-C62574210B4D}"/>
    <hyperlink ref="E55" r:id="rId44" xr:uid="{20069AFE-CF56-4E5D-A1E4-741C744C1A88}"/>
  </hyperlinks>
  <printOptions horizontalCentered="1"/>
  <pageMargins left="0.11811023622047245" right="0.11811023622047245" top="0.35433070866141736" bottom="0.35433070866141736" header="0.31496062992125984" footer="0.31496062992125984"/>
  <pageSetup paperSize="8" scale="85" orientation="landscape" r:id="rId45"/>
  <drawing r:id="rId46"/>
  <legacyDrawing r:id="rId47"/>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4162D-3AD1-487F-AD3A-73C4E3DC6F35}">
  <dimension ref="B1:IF86"/>
  <sheetViews>
    <sheetView zoomScale="55" zoomScaleNormal="55" zoomScaleSheetLayoutView="90" workbookViewId="0">
      <pane xSplit="7" ySplit="4" topLeftCell="H21" activePane="bottomRight" state="frozen"/>
      <selection pane="topRight" activeCell="G1" sqref="G1"/>
      <selection pane="bottomLeft" activeCell="A5" sqref="A5"/>
      <selection pane="bottomRight" activeCell="AG47" sqref="AG47"/>
    </sheetView>
  </sheetViews>
  <sheetFormatPr defaultRowHeight="13.5" x14ac:dyDescent="0.35"/>
  <cols>
    <col min="1" max="1" width="5.5625" customWidth="1"/>
    <col min="2" max="2" width="14.75" style="47" hidden="1" customWidth="1"/>
    <col min="3" max="3" width="2.4375" style="38" hidden="1" customWidth="1"/>
    <col min="4" max="4" width="9.75" customWidth="1"/>
    <col min="5" max="5" width="9.8125" style="409" bestFit="1" customWidth="1"/>
    <col min="6" max="6" width="1.75" customWidth="1"/>
    <col min="7" max="7" width="31.0625" customWidth="1"/>
    <col min="8" max="8" width="9.3125" style="464" bestFit="1" customWidth="1"/>
    <col min="9" max="9" width="9.0625" style="465" customWidth="1"/>
    <col min="10" max="10" width="7.75" style="464" bestFit="1" customWidth="1"/>
    <col min="11" max="11" width="12" style="465" customWidth="1"/>
    <col min="12" max="12" width="12.75" style="30" customWidth="1"/>
    <col min="13" max="13" width="14.0625" style="44" customWidth="1"/>
    <col min="14" max="14" width="7.5" style="38" bestFit="1" customWidth="1"/>
    <col min="15" max="15" width="10.0625" style="32" bestFit="1" customWidth="1"/>
    <col min="16" max="16" width="8.5625" style="38" bestFit="1" customWidth="1"/>
    <col min="17" max="17" width="7.5" bestFit="1" customWidth="1"/>
    <col min="18" max="18" width="8.5" hidden="1" customWidth="1"/>
    <col min="19" max="19" width="50.3125" style="32" customWidth="1"/>
    <col min="21" max="21" width="10.6875" bestFit="1" customWidth="1"/>
    <col min="23" max="24" width="11.75" customWidth="1"/>
    <col min="25" max="25" width="12.5625" customWidth="1"/>
  </cols>
  <sheetData>
    <row r="1" spans="2:240" s="3" customFormat="1" ht="21.7" customHeight="1" x14ac:dyDescent="0.35">
      <c r="B1" s="45">
        <f>(18990)*105%</f>
        <v>19939.5</v>
      </c>
      <c r="C1" s="394">
        <f>80000/6</f>
        <v>13333.333333333334</v>
      </c>
      <c r="D1" s="699" t="s">
        <v>0</v>
      </c>
      <c r="E1" s="699"/>
      <c r="F1" s="699"/>
      <c r="G1" s="699"/>
      <c r="H1" s="699"/>
      <c r="I1" s="699"/>
      <c r="J1" s="699"/>
      <c r="K1" s="699"/>
      <c r="L1" s="699"/>
      <c r="M1" s="699"/>
      <c r="N1" s="699"/>
      <c r="O1" s="699"/>
      <c r="P1" s="699"/>
      <c r="Q1" s="699"/>
      <c r="R1" s="699"/>
      <c r="S1" s="699"/>
      <c r="T1" s="699"/>
      <c r="U1" s="699"/>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row>
    <row r="2" spans="2:240" s="3" customFormat="1" ht="8.5500000000000007" customHeight="1" thickBot="1" x14ac:dyDescent="0.4">
      <c r="B2" s="45"/>
      <c r="C2" s="394"/>
      <c r="D2" s="1"/>
      <c r="E2" s="407"/>
      <c r="F2" s="1"/>
      <c r="G2" s="1"/>
      <c r="H2" s="1"/>
      <c r="I2" s="29"/>
      <c r="J2" s="1"/>
      <c r="K2" s="29"/>
      <c r="L2" s="29"/>
      <c r="M2" s="40"/>
      <c r="N2" s="37"/>
      <c r="O2" s="31"/>
      <c r="P2" s="37"/>
      <c r="Q2" s="1"/>
      <c r="R2" s="1"/>
      <c r="S2" s="31"/>
      <c r="T2" s="1"/>
      <c r="U2" s="1"/>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row>
    <row r="3" spans="2:240" s="4" customFormat="1" ht="24" customHeight="1" thickTop="1" x14ac:dyDescent="0.3">
      <c r="B3" s="600"/>
      <c r="C3" s="395"/>
      <c r="D3" s="673" t="s">
        <v>1</v>
      </c>
      <c r="E3" s="700" t="s">
        <v>2</v>
      </c>
      <c r="F3" s="673" t="s">
        <v>3</v>
      </c>
      <c r="G3" s="673"/>
      <c r="H3" s="701" t="s">
        <v>4</v>
      </c>
      <c r="I3" s="702"/>
      <c r="J3" s="702"/>
      <c r="K3" s="702"/>
      <c r="L3" s="711" t="s">
        <v>5</v>
      </c>
      <c r="M3" s="711"/>
      <c r="N3" s="712"/>
      <c r="O3" s="703" t="s">
        <v>6</v>
      </c>
      <c r="P3" s="704"/>
      <c r="Q3" s="704"/>
      <c r="R3" s="704"/>
      <c r="S3" s="705"/>
      <c r="T3" s="706" t="s">
        <v>687</v>
      </c>
      <c r="U3" s="707"/>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row>
    <row r="4" spans="2:240" s="4" customFormat="1" ht="28.05" customHeight="1" x14ac:dyDescent="0.3">
      <c r="B4" s="600"/>
      <c r="C4" s="395"/>
      <c r="D4" s="673"/>
      <c r="E4" s="700"/>
      <c r="F4" s="673"/>
      <c r="G4" s="673"/>
      <c r="H4" s="701"/>
      <c r="I4" s="702"/>
      <c r="J4" s="702"/>
      <c r="K4" s="702"/>
      <c r="L4" s="50" t="s">
        <v>8</v>
      </c>
      <c r="M4" s="39" t="s">
        <v>9</v>
      </c>
      <c r="N4" s="17" t="s">
        <v>10</v>
      </c>
      <c r="O4" s="26" t="s">
        <v>11</v>
      </c>
      <c r="P4" s="25" t="s">
        <v>12</v>
      </c>
      <c r="Q4" s="17" t="s">
        <v>13</v>
      </c>
      <c r="R4" s="17" t="s">
        <v>14</v>
      </c>
      <c r="S4" s="427" t="s">
        <v>15</v>
      </c>
      <c r="T4" s="18" t="s">
        <v>16</v>
      </c>
      <c r="U4" s="19" t="s">
        <v>17</v>
      </c>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row>
    <row r="5" spans="2:240" s="4" customFormat="1" ht="19.05" customHeight="1" x14ac:dyDescent="0.3">
      <c r="B5" s="600"/>
      <c r="C5" s="395"/>
      <c r="D5" s="668" t="s">
        <v>18</v>
      </c>
      <c r="E5" s="669"/>
      <c r="F5" s="669"/>
      <c r="G5" s="708"/>
      <c r="H5" s="444"/>
      <c r="I5" s="445"/>
      <c r="J5" s="446"/>
      <c r="K5" s="447"/>
      <c r="L5" s="406">
        <f>SUM(L6,L9:L14,L20,L23,L27:L31,L36:L39)</f>
        <v>79578400</v>
      </c>
      <c r="M5" s="406">
        <f>SUM(M6,M9:M14,M20,M23,M27:M31,M36:M39)</f>
        <v>36603717.033333339</v>
      </c>
      <c r="N5" s="536">
        <f>IFERROR(M5/L5,1)</f>
        <v>0.45997050749114504</v>
      </c>
      <c r="O5" s="51">
        <f>SUM(O6,O9:O14,O20,O23,O27:O31,O36:O39)</f>
        <v>83730954.375</v>
      </c>
      <c r="P5" s="487">
        <f>O5-L5</f>
        <v>4152554.375</v>
      </c>
      <c r="Q5" s="488">
        <f>IFERROR(O5/L5-1,1)</f>
        <v>5.2181928450433679E-2</v>
      </c>
      <c r="R5" s="489" t="str">
        <f t="shared" ref="R5:R68" si="0">IF(O5&gt;L5,"เพิ่มขึ้น",IF(O5&lt;L5,"ลดลง",IF(O5=L5,"--")))</f>
        <v>เพิ่มขึ้น</v>
      </c>
      <c r="S5" s="490" t="s">
        <v>19</v>
      </c>
      <c r="T5" s="27">
        <f>SUM(T14,T23,T37,T38)</f>
        <v>12</v>
      </c>
      <c r="U5" s="406">
        <f>SUM(U6,U9:U14,U20,U23,U27:U31,U36:U39)</f>
        <v>103563089.375</v>
      </c>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row>
    <row r="6" spans="2:240" s="4" customFormat="1" ht="20.2" customHeight="1" x14ac:dyDescent="0.3">
      <c r="B6" s="600"/>
      <c r="C6" s="395"/>
      <c r="D6" s="377" t="s">
        <v>20</v>
      </c>
      <c r="E6" s="500"/>
      <c r="F6" s="709" t="s">
        <v>21</v>
      </c>
      <c r="G6" s="710"/>
      <c r="H6" s="643" t="s">
        <v>22</v>
      </c>
      <c r="I6" s="644"/>
      <c r="J6" s="644"/>
      <c r="K6" s="644"/>
      <c r="L6" s="402">
        <f>SUM(L7:L8)</f>
        <v>5950000</v>
      </c>
      <c r="M6" s="410">
        <f>SUM(M7:M8)</f>
        <v>3752559.21</v>
      </c>
      <c r="N6" s="417">
        <f t="shared" ref="N6:N69" si="1">IFERROR(M6/L6,1)</f>
        <v>0.63068222016806719</v>
      </c>
      <c r="O6" s="52">
        <f>SUM(O7:O8)</f>
        <v>7090000</v>
      </c>
      <c r="P6" s="425">
        <f t="shared" ref="P6:Q68" si="2">O6-L6</f>
        <v>1140000</v>
      </c>
      <c r="Q6" s="422">
        <f>IFERROR(O6/L6-1,1)</f>
        <v>0.19159663865546217</v>
      </c>
      <c r="R6" s="426" t="str">
        <f t="shared" si="0"/>
        <v>เพิ่มขึ้น</v>
      </c>
      <c r="S6" s="433" t="s">
        <v>23</v>
      </c>
      <c r="T6" s="6" t="s">
        <v>24</v>
      </c>
      <c r="U6" s="7">
        <v>0</v>
      </c>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row>
    <row r="7" spans="2:240" s="4" customFormat="1" ht="46.5" customHeight="1" x14ac:dyDescent="0.3">
      <c r="B7" s="387"/>
      <c r="C7" s="395" t="s">
        <v>25</v>
      </c>
      <c r="D7" s="377">
        <v>5020102000</v>
      </c>
      <c r="E7" s="501" t="s">
        <v>26</v>
      </c>
      <c r="F7" s="398"/>
      <c r="G7" s="20" t="s">
        <v>27</v>
      </c>
      <c r="H7" s="647" t="s">
        <v>28</v>
      </c>
      <c r="I7" s="648"/>
      <c r="J7" s="648"/>
      <c r="K7" s="649"/>
      <c r="L7" s="428">
        <f>'สรุปใช้งบ 31กค'!H11</f>
        <v>310000</v>
      </c>
      <c r="M7" s="42">
        <f>'สรุปใช้งบ 31กค'!L11</f>
        <v>263759.21000000002</v>
      </c>
      <c r="N7" s="468">
        <f t="shared" si="1"/>
        <v>0.85083616129032269</v>
      </c>
      <c r="O7" s="53">
        <f>[1]คำขอ2570!$F$8</f>
        <v>890000</v>
      </c>
      <c r="P7" s="421">
        <f t="shared" si="2"/>
        <v>580000</v>
      </c>
      <c r="Q7" s="423">
        <f t="shared" ref="Q7:Q70" si="3">IFERROR(O7/L7-1,1)</f>
        <v>1.870967741935484</v>
      </c>
      <c r="R7" s="49" t="str">
        <f t="shared" si="0"/>
        <v>เพิ่มขึ้น</v>
      </c>
      <c r="S7" s="419" t="s">
        <v>652</v>
      </c>
      <c r="T7" s="8" t="s">
        <v>24</v>
      </c>
      <c r="U7" s="9">
        <v>0</v>
      </c>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row>
    <row r="8" spans="2:240" s="4" customFormat="1" ht="38.549999999999997" customHeight="1" x14ac:dyDescent="0.3">
      <c r="B8" s="387" t="s">
        <v>29</v>
      </c>
      <c r="C8" s="395" t="s">
        <v>25</v>
      </c>
      <c r="D8" s="377">
        <v>5020104000</v>
      </c>
      <c r="E8" s="501" t="s">
        <v>30</v>
      </c>
      <c r="F8" s="398"/>
      <c r="G8" s="21" t="s">
        <v>31</v>
      </c>
      <c r="H8" s="647" t="s">
        <v>32</v>
      </c>
      <c r="I8" s="648"/>
      <c r="J8" s="648"/>
      <c r="K8" s="649"/>
      <c r="L8" s="428">
        <f>'สรุปใช้งบ 31กค'!H12</f>
        <v>5640000</v>
      </c>
      <c r="M8" s="42">
        <f>'สรุปใช้งบ 31กค'!L12</f>
        <v>3488800</v>
      </c>
      <c r="N8" s="468">
        <f t="shared" si="1"/>
        <v>0.61858156028368794</v>
      </c>
      <c r="O8" s="53">
        <f>'[2]2570new'!$D$21</f>
        <v>6200000</v>
      </c>
      <c r="P8" s="421">
        <f t="shared" si="2"/>
        <v>560000</v>
      </c>
      <c r="Q8" s="423">
        <f t="shared" si="3"/>
        <v>9.9290780141843893E-2</v>
      </c>
      <c r="R8" s="49" t="str">
        <f t="shared" si="0"/>
        <v>เพิ่มขึ้น</v>
      </c>
      <c r="S8" s="420" t="s">
        <v>653</v>
      </c>
      <c r="T8" s="8" t="s">
        <v>24</v>
      </c>
      <c r="U8" s="9">
        <v>0</v>
      </c>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row>
    <row r="9" spans="2:240" s="4" customFormat="1" ht="34.049999999999997" customHeight="1" x14ac:dyDescent="0.3">
      <c r="B9" s="470" t="s">
        <v>33</v>
      </c>
      <c r="C9" s="395"/>
      <c r="D9" s="377">
        <v>5020305000</v>
      </c>
      <c r="E9" s="501" t="s">
        <v>34</v>
      </c>
      <c r="F9" s="671" t="s">
        <v>35</v>
      </c>
      <c r="G9" s="672"/>
      <c r="H9" s="713" t="s">
        <v>36</v>
      </c>
      <c r="I9" s="714"/>
      <c r="J9" s="714"/>
      <c r="K9" s="714"/>
      <c r="L9" s="429">
        <f>'สรุปใช้งบ 31กค'!H13</f>
        <v>6650000</v>
      </c>
      <c r="M9" s="41">
        <f>'สรุปใช้งบ 31กค'!$L$13</f>
        <v>2100323.85</v>
      </c>
      <c r="N9" s="417">
        <f t="shared" si="1"/>
        <v>0.31583817293233085</v>
      </c>
      <c r="O9" s="52">
        <f>'[3]1. ต่างสำนักงาน  Rate ปี 70'!$F$20</f>
        <v>4380000</v>
      </c>
      <c r="P9" s="413">
        <f t="shared" si="2"/>
        <v>-2270000</v>
      </c>
      <c r="Q9" s="418">
        <f t="shared" si="3"/>
        <v>-0.34135338345864663</v>
      </c>
      <c r="R9" s="426" t="str">
        <f t="shared" si="0"/>
        <v>ลดลง</v>
      </c>
      <c r="S9" s="415" t="s">
        <v>37</v>
      </c>
      <c r="T9" s="13" t="s">
        <v>24</v>
      </c>
      <c r="U9" s="14">
        <v>0</v>
      </c>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row>
    <row r="10" spans="2:240" s="4" customFormat="1" ht="48" customHeight="1" x14ac:dyDescent="0.3">
      <c r="B10" s="432" t="s">
        <v>38</v>
      </c>
      <c r="C10" s="15"/>
      <c r="D10" s="377">
        <v>5020304000</v>
      </c>
      <c r="E10" s="501" t="s">
        <v>39</v>
      </c>
      <c r="F10" s="626" t="s">
        <v>40</v>
      </c>
      <c r="G10" s="627"/>
      <c r="H10" s="654" t="s">
        <v>41</v>
      </c>
      <c r="I10" s="643"/>
      <c r="J10" s="643"/>
      <c r="K10" s="643"/>
      <c r="L10" s="378">
        <f>'สรุปใช้งบ 31กค'!H14</f>
        <v>457900</v>
      </c>
      <c r="M10" s="41">
        <f>'สรุปใช้งบ 31กค'!$L$14</f>
        <v>443910.80000000005</v>
      </c>
      <c r="N10" s="417">
        <f t="shared" si="1"/>
        <v>0.96944922472155504</v>
      </c>
      <c r="O10" s="54">
        <v>1204490</v>
      </c>
      <c r="P10" s="425">
        <f t="shared" si="2"/>
        <v>746590</v>
      </c>
      <c r="Q10" s="422">
        <f t="shared" si="3"/>
        <v>1.6304651670670451</v>
      </c>
      <c r="R10" s="467" t="str">
        <f t="shared" si="0"/>
        <v>เพิ่มขึ้น</v>
      </c>
      <c r="S10" s="433" t="s">
        <v>651</v>
      </c>
      <c r="T10" s="6" t="s">
        <v>24</v>
      </c>
      <c r="U10" s="7">
        <v>0</v>
      </c>
      <c r="V10" s="5"/>
      <c r="W10" s="526"/>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row>
    <row r="11" spans="2:240" s="4" customFormat="1" ht="25.5" customHeight="1" x14ac:dyDescent="0.3">
      <c r="B11" s="46"/>
      <c r="C11" s="395" t="s">
        <v>25</v>
      </c>
      <c r="D11" s="377">
        <v>5031207000</v>
      </c>
      <c r="E11" s="501" t="s">
        <v>42</v>
      </c>
      <c r="F11" s="626" t="s">
        <v>654</v>
      </c>
      <c r="G11" s="627"/>
      <c r="H11" s="654" t="s">
        <v>43</v>
      </c>
      <c r="I11" s="643"/>
      <c r="J11" s="643"/>
      <c r="K11" s="643"/>
      <c r="L11" s="381">
        <v>0</v>
      </c>
      <c r="M11" s="307">
        <v>0</v>
      </c>
      <c r="N11" s="417">
        <f t="shared" si="1"/>
        <v>1</v>
      </c>
      <c r="O11" s="52">
        <f>'[4]ค่าเช่าชุดสูท 70'!$E$9</f>
        <v>50000</v>
      </c>
      <c r="P11" s="425">
        <f t="shared" si="2"/>
        <v>50000</v>
      </c>
      <c r="Q11" s="422">
        <f t="shared" si="3"/>
        <v>1</v>
      </c>
      <c r="R11" s="467" t="str">
        <f t="shared" si="0"/>
        <v>เพิ่มขึ้น</v>
      </c>
      <c r="S11" s="433" t="s">
        <v>636</v>
      </c>
      <c r="T11" s="6" t="s">
        <v>24</v>
      </c>
      <c r="U11" s="7">
        <v>0</v>
      </c>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row>
    <row r="12" spans="2:240" s="4" customFormat="1" ht="21.7" customHeight="1" x14ac:dyDescent="0.3">
      <c r="B12" s="600"/>
      <c r="C12" s="395" t="s">
        <v>25</v>
      </c>
      <c r="D12" s="377">
        <v>5020306000</v>
      </c>
      <c r="E12" s="501" t="s">
        <v>44</v>
      </c>
      <c r="F12" s="626" t="s">
        <v>45</v>
      </c>
      <c r="G12" s="627"/>
      <c r="H12" s="643" t="s">
        <v>46</v>
      </c>
      <c r="I12" s="644"/>
      <c r="J12" s="644"/>
      <c r="K12" s="644"/>
      <c r="L12" s="378">
        <f>'สรุปใช้งบ 31กค'!H15</f>
        <v>165000</v>
      </c>
      <c r="M12" s="41">
        <f>'สรุปใช้งบ 31กค'!$L$15</f>
        <v>26800.35</v>
      </c>
      <c r="N12" s="417">
        <f t="shared" si="1"/>
        <v>0.16242636363636362</v>
      </c>
      <c r="O12" s="52">
        <f>'[5]2570'!$H$13</f>
        <v>145000</v>
      </c>
      <c r="P12" s="413">
        <f t="shared" si="2"/>
        <v>-20000</v>
      </c>
      <c r="Q12" s="418">
        <f t="shared" si="3"/>
        <v>-0.12121212121212122</v>
      </c>
      <c r="R12" s="426" t="str">
        <f t="shared" si="0"/>
        <v>ลดลง</v>
      </c>
      <c r="S12" s="434" t="s">
        <v>47</v>
      </c>
      <c r="T12" s="6" t="s">
        <v>24</v>
      </c>
      <c r="U12" s="7">
        <v>0</v>
      </c>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row>
    <row r="13" spans="2:240" s="4" customFormat="1" ht="26.55" customHeight="1" x14ac:dyDescent="0.3">
      <c r="B13" s="600"/>
      <c r="C13" s="395" t="s">
        <v>25</v>
      </c>
      <c r="D13" s="377" t="s">
        <v>291</v>
      </c>
      <c r="E13" s="501" t="s">
        <v>48</v>
      </c>
      <c r="F13" s="628" t="s">
        <v>49</v>
      </c>
      <c r="G13" s="629"/>
      <c r="H13" s="645" t="s">
        <v>50</v>
      </c>
      <c r="I13" s="646"/>
      <c r="J13" s="646"/>
      <c r="K13" s="646"/>
      <c r="L13" s="378">
        <f>'สรุปใช้งบ 31กค'!H16</f>
        <v>1522500</v>
      </c>
      <c r="M13" s="41">
        <f>'สรุปใช้งบ 31กค'!$L$16</f>
        <v>257470.88999999998</v>
      </c>
      <c r="N13" s="417">
        <f t="shared" si="1"/>
        <v>0.16911060098522165</v>
      </c>
      <c r="O13" s="578">
        <f>'[6]2570'!$H$14</f>
        <v>675000</v>
      </c>
      <c r="P13" s="413">
        <f t="shared" si="2"/>
        <v>-847500</v>
      </c>
      <c r="Q13" s="576">
        <f t="shared" si="3"/>
        <v>-0.55665024630541871</v>
      </c>
      <c r="R13" s="577" t="str">
        <f t="shared" si="0"/>
        <v>ลดลง</v>
      </c>
      <c r="S13" s="434" t="s">
        <v>688</v>
      </c>
      <c r="T13" s="6" t="s">
        <v>24</v>
      </c>
      <c r="U13" s="7">
        <v>0</v>
      </c>
      <c r="V13" s="5"/>
      <c r="W13" s="581" t="s">
        <v>690</v>
      </c>
      <c r="X13" s="581" t="s">
        <v>691</v>
      </c>
      <c r="Y13" s="581" t="s">
        <v>692</v>
      </c>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row>
    <row r="14" spans="2:240" s="5" customFormat="1" ht="23.55" customHeight="1" x14ac:dyDescent="0.35">
      <c r="B14" s="600"/>
      <c r="C14" s="603" t="s">
        <v>25</v>
      </c>
      <c r="D14" s="677">
        <v>5031116000</v>
      </c>
      <c r="E14" s="683" t="s">
        <v>52</v>
      </c>
      <c r="F14" s="630" t="s">
        <v>53</v>
      </c>
      <c r="G14" s="631"/>
      <c r="H14" s="643" t="s">
        <v>54</v>
      </c>
      <c r="I14" s="644"/>
      <c r="J14" s="644"/>
      <c r="K14" s="644"/>
      <c r="L14" s="378">
        <f>SUM(L15:L19)</f>
        <v>55490000</v>
      </c>
      <c r="M14" s="41">
        <f>SUM(M15:M19)</f>
        <v>25990271.513333336</v>
      </c>
      <c r="N14" s="417">
        <f t="shared" si="1"/>
        <v>0.46837757277587555</v>
      </c>
      <c r="O14" s="52">
        <f>SUM(O15:O19)</f>
        <v>59880600</v>
      </c>
      <c r="P14" s="425">
        <f t="shared" si="2"/>
        <v>4390600</v>
      </c>
      <c r="Q14" s="422">
        <f t="shared" si="3"/>
        <v>7.9124166516489458E-2</v>
      </c>
      <c r="R14" s="467" t="str">
        <f t="shared" si="0"/>
        <v>เพิ่มขึ้น</v>
      </c>
      <c r="S14" s="439" t="s">
        <v>55</v>
      </c>
      <c r="T14" s="6">
        <v>5</v>
      </c>
      <c r="U14" s="7">
        <f>SUM(U15:U19)</f>
        <v>101283400</v>
      </c>
      <c r="W14" s="580">
        <f>SUM(W15:W19)</f>
        <v>57250300</v>
      </c>
      <c r="X14" s="580">
        <f t="shared" ref="X14:Y14" si="4">SUM(X15:X19)</f>
        <v>32895600</v>
      </c>
      <c r="Y14" s="580">
        <f t="shared" si="4"/>
        <v>11137600</v>
      </c>
    </row>
    <row r="15" spans="2:240" s="4" customFormat="1" ht="20.2" customHeight="1" x14ac:dyDescent="0.3">
      <c r="B15" s="600"/>
      <c r="C15" s="603"/>
      <c r="D15" s="678"/>
      <c r="E15" s="684"/>
      <c r="F15" s="632"/>
      <c r="G15" s="633"/>
      <c r="H15" s="649" t="s">
        <v>56</v>
      </c>
      <c r="I15" s="648"/>
      <c r="J15" s="648"/>
      <c r="K15" s="648"/>
      <c r="L15" s="379">
        <f>Dataผลพิปี69!U31</f>
        <v>25020000</v>
      </c>
      <c r="M15" s="42">
        <f>'[7]กลุ่ม 1'!$H$25</f>
        <v>13844752.41</v>
      </c>
      <c r="N15" s="468">
        <f t="shared" si="1"/>
        <v>0.55334741846522784</v>
      </c>
      <c r="O15" s="53">
        <f>'[8]Template OS-2570 '!$AU$10+'[8]Template OS-2570 '!$AU$11+'[8]Template OS-2570 '!$AU$12</f>
        <v>30297600</v>
      </c>
      <c r="P15" s="421">
        <f t="shared" si="2"/>
        <v>5277600</v>
      </c>
      <c r="Q15" s="423">
        <f t="shared" si="3"/>
        <v>0.21093525179856121</v>
      </c>
      <c r="R15" s="424" t="str">
        <f t="shared" si="0"/>
        <v>เพิ่มขึ้น</v>
      </c>
      <c r="S15" s="658" t="s">
        <v>57</v>
      </c>
      <c r="T15" s="443">
        <v>1</v>
      </c>
      <c r="U15" s="9">
        <f>'[25]Template OS-2570 '!$BK$12</f>
        <v>76479500</v>
      </c>
      <c r="V15" s="5"/>
      <c r="W15" s="582">
        <f>'[8]Template OS-2570 '!$AX$12</f>
        <v>32446300</v>
      </c>
      <c r="X15" s="582">
        <f>'[8]Template OS-2570 '!$BA$12</f>
        <v>32895600</v>
      </c>
      <c r="Y15" s="582">
        <f>'[8]Template OS-2570 '!$BD$12</f>
        <v>11137600</v>
      </c>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row>
    <row r="16" spans="2:240" s="4" customFormat="1" ht="20.2" customHeight="1" x14ac:dyDescent="0.3">
      <c r="B16" s="600"/>
      <c r="C16" s="603"/>
      <c r="D16" s="678"/>
      <c r="E16" s="684"/>
      <c r="F16" s="632"/>
      <c r="G16" s="633"/>
      <c r="H16" s="649" t="s">
        <v>58</v>
      </c>
      <c r="I16" s="648"/>
      <c r="J16" s="648"/>
      <c r="K16" s="648"/>
      <c r="L16" s="379">
        <f>Dataผลพิปี69!U32</f>
        <v>6100000</v>
      </c>
      <c r="M16" s="42">
        <f>[7]กลุ่ม2!$H$43</f>
        <v>3041731.2800000003</v>
      </c>
      <c r="N16" s="468">
        <f t="shared" si="1"/>
        <v>0.4986444721311476</v>
      </c>
      <c r="O16" s="53">
        <f>'[8]Template OS-2570 '!$AU$14</f>
        <v>5243500</v>
      </c>
      <c r="P16" s="414">
        <f t="shared" si="2"/>
        <v>-856500</v>
      </c>
      <c r="Q16" s="466">
        <f t="shared" si="3"/>
        <v>-0.14040983606557378</v>
      </c>
      <c r="R16" s="442" t="str">
        <f t="shared" si="0"/>
        <v>ลดลง</v>
      </c>
      <c r="S16" s="659"/>
      <c r="T16" s="443">
        <v>1</v>
      </c>
      <c r="U16" s="9">
        <f>'[25]Template OS-2570 '!$BK$14</f>
        <v>4372900</v>
      </c>
      <c r="V16" s="5"/>
      <c r="W16" s="582">
        <f>'[8]Template OS-2570 '!$AX$14</f>
        <v>4373000</v>
      </c>
      <c r="X16" s="583"/>
      <c r="Y16" s="583"/>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row>
    <row r="17" spans="2:240" s="4" customFormat="1" ht="20.2" customHeight="1" x14ac:dyDescent="0.3">
      <c r="B17" s="600"/>
      <c r="C17" s="603" t="s">
        <v>25</v>
      </c>
      <c r="D17" s="678"/>
      <c r="E17" s="683" t="s">
        <v>59</v>
      </c>
      <c r="F17" s="632"/>
      <c r="G17" s="633"/>
      <c r="H17" s="695" t="s">
        <v>60</v>
      </c>
      <c r="I17" s="696"/>
      <c r="J17" s="696"/>
      <c r="K17" s="696"/>
      <c r="L17" s="379">
        <f>Dataผลพิปี69!U33</f>
        <v>6170000</v>
      </c>
      <c r="M17" s="42">
        <f>[9]กลุ่ม3!$H$43</f>
        <v>1942537.4</v>
      </c>
      <c r="N17" s="468">
        <f t="shared" si="1"/>
        <v>0.3148358833063209</v>
      </c>
      <c r="O17" s="53">
        <f>'[8]Template OS-2570 '!$AU$18</f>
        <v>5458400</v>
      </c>
      <c r="P17" s="414">
        <f t="shared" si="2"/>
        <v>-711600</v>
      </c>
      <c r="Q17" s="466">
        <f t="shared" si="3"/>
        <v>-0.11533225283630466</v>
      </c>
      <c r="R17" s="442" t="str">
        <f t="shared" si="0"/>
        <v>ลดลง</v>
      </c>
      <c r="S17" s="659"/>
      <c r="T17" s="443">
        <v>1</v>
      </c>
      <c r="U17" s="9">
        <f>'[25]Template OS-2570 '!$BK$18</f>
        <v>4688000</v>
      </c>
      <c r="V17" s="5"/>
      <c r="W17" s="582">
        <f>'[8]Template OS-2570 '!$AX$18</f>
        <v>4688000</v>
      </c>
      <c r="X17" s="583"/>
      <c r="Y17" s="583"/>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row>
    <row r="18" spans="2:240" s="4" customFormat="1" ht="20.2" customHeight="1" x14ac:dyDescent="0.3">
      <c r="B18" s="441"/>
      <c r="C18" s="603"/>
      <c r="D18" s="678"/>
      <c r="E18" s="684"/>
      <c r="F18" s="632"/>
      <c r="G18" s="633"/>
      <c r="H18" s="649" t="s">
        <v>673</v>
      </c>
      <c r="I18" s="648"/>
      <c r="J18" s="648"/>
      <c r="K18" s="648"/>
      <c r="L18" s="379">
        <f>Dataผลพิปี69!U34</f>
        <v>6200000</v>
      </c>
      <c r="M18" s="42">
        <f>[9]กลุ่ม4!$H$43</f>
        <v>3452552.16</v>
      </c>
      <c r="N18" s="468">
        <f t="shared" si="1"/>
        <v>0.55686325161290329</v>
      </c>
      <c r="O18" s="53">
        <f>'[8]Template OS-2570 '!$AU$20</f>
        <v>5949500</v>
      </c>
      <c r="P18" s="414">
        <f t="shared" si="2"/>
        <v>-250500</v>
      </c>
      <c r="Q18" s="466">
        <f t="shared" si="3"/>
        <v>-4.0403225806451615E-2</v>
      </c>
      <c r="R18" s="442" t="str">
        <f t="shared" si="0"/>
        <v>ลดลง</v>
      </c>
      <c r="S18" s="656" t="s">
        <v>672</v>
      </c>
      <c r="T18" s="443">
        <v>1</v>
      </c>
      <c r="U18" s="9">
        <f>'[25]Template OS-2570 '!$BK$20</f>
        <v>4961200</v>
      </c>
      <c r="V18" s="5"/>
      <c r="W18" s="582">
        <f>'[8]Template OS-2570 '!$AX$20</f>
        <v>4961200</v>
      </c>
      <c r="X18" s="583"/>
      <c r="Y18" s="583"/>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row>
    <row r="19" spans="2:240" s="4" customFormat="1" ht="36" customHeight="1" x14ac:dyDescent="0.3">
      <c r="B19" s="441"/>
      <c r="C19" s="603"/>
      <c r="D19" s="679"/>
      <c r="E19" s="684"/>
      <c r="F19" s="634"/>
      <c r="G19" s="635"/>
      <c r="H19" s="649" t="s">
        <v>62</v>
      </c>
      <c r="I19" s="648"/>
      <c r="J19" s="648"/>
      <c r="K19" s="648"/>
      <c r="L19" s="379">
        <f>Dataผลพิปี69!U35</f>
        <v>12000000</v>
      </c>
      <c r="M19" s="42">
        <f>[9]กลุ่ม5!$H$53</f>
        <v>3708698.2633333337</v>
      </c>
      <c r="N19" s="468">
        <f t="shared" si="1"/>
        <v>0.30905818861111112</v>
      </c>
      <c r="O19" s="53">
        <f>'[8]Template OS-2570 '!$AU$24</f>
        <v>12931600</v>
      </c>
      <c r="P19" s="421">
        <f t="shared" si="2"/>
        <v>931600</v>
      </c>
      <c r="Q19" s="423">
        <f t="shared" si="3"/>
        <v>7.7633333333333443E-2</v>
      </c>
      <c r="R19" s="424" t="str">
        <f t="shared" si="0"/>
        <v>เพิ่มขึ้น</v>
      </c>
      <c r="S19" s="657"/>
      <c r="T19" s="443">
        <v>1</v>
      </c>
      <c r="U19" s="9">
        <f>'[25]Template OS-2570 '!$AP$24</f>
        <v>10781800</v>
      </c>
      <c r="V19" s="5"/>
      <c r="W19" s="582">
        <f>'[8]Template OS-2570 '!$AX$24</f>
        <v>10781800</v>
      </c>
      <c r="X19" s="583"/>
      <c r="Y19" s="583"/>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row>
    <row r="20" spans="2:240" s="4" customFormat="1" ht="20.2" customHeight="1" x14ac:dyDescent="0.3">
      <c r="B20" s="387"/>
      <c r="C20" s="395"/>
      <c r="D20" s="377" t="s">
        <v>20</v>
      </c>
      <c r="E20" s="502"/>
      <c r="F20" s="636" t="s">
        <v>63</v>
      </c>
      <c r="G20" s="637"/>
      <c r="H20" s="650" t="s">
        <v>22</v>
      </c>
      <c r="I20" s="651"/>
      <c r="J20" s="651"/>
      <c r="K20" s="651"/>
      <c r="L20" s="380">
        <f>SUM(L21:L22)</f>
        <v>4372900</v>
      </c>
      <c r="M20" s="43">
        <f>SUM(M21:M22)</f>
        <v>2170381</v>
      </c>
      <c r="N20" s="417">
        <f t="shared" si="1"/>
        <v>0.49632532186878275</v>
      </c>
      <c r="O20" s="54">
        <f>SUM(O21:O22)</f>
        <v>4376900</v>
      </c>
      <c r="P20" s="472">
        <f t="shared" si="2"/>
        <v>4000</v>
      </c>
      <c r="Q20" s="422">
        <f t="shared" si="3"/>
        <v>9.1472478218124209E-4</v>
      </c>
      <c r="R20" s="473" t="str">
        <f t="shared" si="0"/>
        <v>เพิ่มขึ้น</v>
      </c>
      <c r="S20" s="474" t="s">
        <v>655</v>
      </c>
      <c r="T20" s="13" t="s">
        <v>24</v>
      </c>
      <c r="U20" s="14">
        <v>0</v>
      </c>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row>
    <row r="21" spans="2:240" s="4" customFormat="1" ht="33.700000000000003" customHeight="1" x14ac:dyDescent="0.3">
      <c r="B21" s="431" t="s">
        <v>33</v>
      </c>
      <c r="C21" s="15"/>
      <c r="D21" s="377">
        <v>5031120000</v>
      </c>
      <c r="E21" s="501" t="s">
        <v>64</v>
      </c>
      <c r="F21" s="399"/>
      <c r="G21" s="21" t="s">
        <v>65</v>
      </c>
      <c r="H21" s="647" t="s">
        <v>66</v>
      </c>
      <c r="I21" s="648"/>
      <c r="J21" s="648"/>
      <c r="K21" s="649"/>
      <c r="L21" s="379">
        <f>'สรุปใช้งบ 31กค'!$H$18</f>
        <v>31000</v>
      </c>
      <c r="M21" s="42">
        <f>'สรุปใช้งบ 31กค'!$L$18</f>
        <v>24931</v>
      </c>
      <c r="N21" s="468">
        <f t="shared" si="1"/>
        <v>0.8042258064516129</v>
      </c>
      <c r="O21" s="53">
        <f>'[10]2570'!$C$22</f>
        <v>35000</v>
      </c>
      <c r="P21" s="421">
        <f t="shared" si="2"/>
        <v>4000</v>
      </c>
      <c r="Q21" s="423">
        <f t="shared" si="3"/>
        <v>0.12903225806451624</v>
      </c>
      <c r="R21" s="424" t="str">
        <f t="shared" si="0"/>
        <v>เพิ่มขึ้น</v>
      </c>
      <c r="S21" s="471" t="s">
        <v>683</v>
      </c>
      <c r="T21" s="8" t="s">
        <v>24</v>
      </c>
      <c r="U21" s="9">
        <v>0</v>
      </c>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row>
    <row r="22" spans="2:240" s="4" customFormat="1" ht="20.2" customHeight="1" x14ac:dyDescent="0.3">
      <c r="B22" s="600"/>
      <c r="C22" s="395" t="s">
        <v>67</v>
      </c>
      <c r="D22" s="377" t="s">
        <v>308</v>
      </c>
      <c r="E22" s="501" t="s">
        <v>68</v>
      </c>
      <c r="F22" s="400"/>
      <c r="G22" s="28" t="s">
        <v>69</v>
      </c>
      <c r="H22" s="647" t="s">
        <v>70</v>
      </c>
      <c r="I22" s="648"/>
      <c r="J22" s="648"/>
      <c r="K22" s="649"/>
      <c r="L22" s="379">
        <f>'สรุปใช้งบ 31กค'!$H$19</f>
        <v>4341900</v>
      </c>
      <c r="M22" s="42">
        <f>'สรุปใช้งบ 31กค'!$L$19</f>
        <v>2145450</v>
      </c>
      <c r="N22" s="468">
        <f t="shared" si="1"/>
        <v>0.49412699509431357</v>
      </c>
      <c r="O22" s="53">
        <f>'[11]2570'!$T$38</f>
        <v>4341900</v>
      </c>
      <c r="P22" s="388">
        <f t="shared" si="2"/>
        <v>0</v>
      </c>
      <c r="Q22" s="529">
        <f t="shared" si="3"/>
        <v>0</v>
      </c>
      <c r="R22" s="49" t="str">
        <f t="shared" si="0"/>
        <v>--</v>
      </c>
      <c r="S22" s="437" t="s">
        <v>657</v>
      </c>
      <c r="T22" s="8" t="s">
        <v>24</v>
      </c>
      <c r="U22" s="9">
        <v>0</v>
      </c>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row>
    <row r="23" spans="2:240" s="4" customFormat="1" ht="20.55" customHeight="1" x14ac:dyDescent="0.3">
      <c r="B23" s="600"/>
      <c r="C23" s="718" t="s">
        <v>25</v>
      </c>
      <c r="D23" s="674">
        <v>5031214000</v>
      </c>
      <c r="E23" s="680" t="s">
        <v>71</v>
      </c>
      <c r="F23" s="638" t="s">
        <v>72</v>
      </c>
      <c r="G23" s="639"/>
      <c r="H23" s="643" t="s">
        <v>73</v>
      </c>
      <c r="I23" s="644"/>
      <c r="J23" s="644"/>
      <c r="K23" s="644"/>
      <c r="L23" s="378">
        <f>SUM(L24:L26)</f>
        <v>2414500</v>
      </c>
      <c r="M23" s="41">
        <f>SUM(M24:M26)</f>
        <v>1205595.75</v>
      </c>
      <c r="N23" s="417">
        <f t="shared" si="1"/>
        <v>0.49931486850279561</v>
      </c>
      <c r="O23" s="52">
        <f>SUM(O24:O26)</f>
        <v>1977164.375</v>
      </c>
      <c r="P23" s="413">
        <f t="shared" si="2"/>
        <v>-437335.625</v>
      </c>
      <c r="Q23" s="418">
        <f t="shared" si="3"/>
        <v>-0.18112885690619174</v>
      </c>
      <c r="R23" s="469" t="str">
        <f t="shared" si="0"/>
        <v>ลดลง</v>
      </c>
      <c r="S23" s="48" t="s">
        <v>74</v>
      </c>
      <c r="T23" s="6">
        <f>SUM(T24:T26)</f>
        <v>2</v>
      </c>
      <c r="U23" s="7">
        <f>SUM(U24:U26)</f>
        <v>2270889.375</v>
      </c>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row>
    <row r="24" spans="2:240" s="4" customFormat="1" ht="25.05" customHeight="1" x14ac:dyDescent="0.3">
      <c r="B24" s="600"/>
      <c r="C24" s="718"/>
      <c r="D24" s="675"/>
      <c r="E24" s="681"/>
      <c r="F24" s="640"/>
      <c r="G24" s="637"/>
      <c r="H24" s="649" t="s">
        <v>75</v>
      </c>
      <c r="I24" s="648"/>
      <c r="J24" s="648"/>
      <c r="K24" s="648"/>
      <c r="L24" s="379">
        <v>2263100</v>
      </c>
      <c r="M24" s="42">
        <v>1131525</v>
      </c>
      <c r="N24" s="468">
        <f t="shared" si="1"/>
        <v>0.49998895320577968</v>
      </c>
      <c r="O24" s="53">
        <f>'[12]new 2570'!$E$7</f>
        <v>1844150</v>
      </c>
      <c r="P24" s="414">
        <f t="shared" si="2"/>
        <v>-418950</v>
      </c>
      <c r="Q24" s="466">
        <f t="shared" si="3"/>
        <v>-0.18512217754407667</v>
      </c>
      <c r="R24" s="442" t="str">
        <f t="shared" si="0"/>
        <v>ลดลง</v>
      </c>
      <c r="S24" s="652" t="s">
        <v>660</v>
      </c>
      <c r="T24" s="8">
        <v>1</v>
      </c>
      <c r="U24" s="9">
        <f>'[13]new 2570'!$F$7+'[13]new 2570'!$G$7</f>
        <v>2137875</v>
      </c>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row>
    <row r="25" spans="2:240" s="4" customFormat="1" ht="28.5" customHeight="1" x14ac:dyDescent="0.3">
      <c r="B25" s="600"/>
      <c r="C25" s="718"/>
      <c r="D25" s="675"/>
      <c r="E25" s="681"/>
      <c r="F25" s="640"/>
      <c r="G25" s="637"/>
      <c r="H25" s="649" t="s">
        <v>674</v>
      </c>
      <c r="I25" s="648"/>
      <c r="J25" s="648"/>
      <c r="K25" s="648"/>
      <c r="L25" s="379">
        <v>106500</v>
      </c>
      <c r="M25" s="42">
        <v>53205.75</v>
      </c>
      <c r="N25" s="468">
        <f t="shared" si="1"/>
        <v>0.49958450704225354</v>
      </c>
      <c r="O25" s="53">
        <f>'[12]new 2570'!$E$11</f>
        <v>133014.375</v>
      </c>
      <c r="P25" s="414">
        <f t="shared" si="2"/>
        <v>26514.375</v>
      </c>
      <c r="Q25" s="466">
        <f t="shared" si="3"/>
        <v>0.24896126760563386</v>
      </c>
      <c r="R25" s="442" t="str">
        <f t="shared" si="0"/>
        <v>เพิ่มขึ้น</v>
      </c>
      <c r="S25" s="653"/>
      <c r="T25" s="8">
        <v>1</v>
      </c>
      <c r="U25" s="9">
        <f>'[13]new 2570'!$F$11+'[13]new 2570'!$G$11</f>
        <v>133014.375</v>
      </c>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row>
    <row r="26" spans="2:240" s="4" customFormat="1" ht="24.7" customHeight="1" x14ac:dyDescent="0.3">
      <c r="B26" s="600"/>
      <c r="C26" s="718"/>
      <c r="D26" s="676"/>
      <c r="E26" s="682"/>
      <c r="F26" s="641"/>
      <c r="G26" s="642"/>
      <c r="H26" s="649" t="s">
        <v>77</v>
      </c>
      <c r="I26" s="648"/>
      <c r="J26" s="648"/>
      <c r="K26" s="648"/>
      <c r="L26" s="379">
        <v>44900</v>
      </c>
      <c r="M26" s="42">
        <v>20865</v>
      </c>
      <c r="N26" s="468">
        <f t="shared" si="1"/>
        <v>0.46469933184855233</v>
      </c>
      <c r="O26" s="53">
        <f>'[13]new 2570'!$E$15</f>
        <v>0</v>
      </c>
      <c r="P26" s="414">
        <f t="shared" si="2"/>
        <v>-44900</v>
      </c>
      <c r="Q26" s="466">
        <f t="shared" si="3"/>
        <v>-1</v>
      </c>
      <c r="R26" s="442" t="str">
        <f t="shared" si="0"/>
        <v>ลดลง</v>
      </c>
      <c r="S26" s="475" t="s">
        <v>661</v>
      </c>
      <c r="T26" s="8" t="s">
        <v>78</v>
      </c>
      <c r="U26" s="9">
        <v>0</v>
      </c>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row>
    <row r="27" spans="2:240" s="4" customFormat="1" ht="29.55" customHeight="1" x14ac:dyDescent="0.3">
      <c r="B27" s="600"/>
      <c r="C27" s="395"/>
      <c r="D27" s="377">
        <v>5031218000</v>
      </c>
      <c r="E27" s="503" t="s">
        <v>79</v>
      </c>
      <c r="F27" s="715" t="s">
        <v>80</v>
      </c>
      <c r="G27" s="716"/>
      <c r="H27" s="713" t="s">
        <v>81</v>
      </c>
      <c r="I27" s="714"/>
      <c r="J27" s="714"/>
      <c r="K27" s="714"/>
      <c r="L27" s="380">
        <v>147000</v>
      </c>
      <c r="M27" s="41">
        <v>46866</v>
      </c>
      <c r="N27" s="417">
        <f t="shared" si="1"/>
        <v>0.31881632653061226</v>
      </c>
      <c r="O27" s="52">
        <f>'[14]2570'!$F$16</f>
        <v>195000</v>
      </c>
      <c r="P27" s="425">
        <f t="shared" si="2"/>
        <v>48000</v>
      </c>
      <c r="Q27" s="422">
        <f t="shared" si="3"/>
        <v>0.32653061224489788</v>
      </c>
      <c r="R27" s="473" t="str">
        <f t="shared" si="0"/>
        <v>เพิ่มขึ้น</v>
      </c>
      <c r="S27" s="476" t="s">
        <v>662</v>
      </c>
      <c r="T27" s="6" t="s">
        <v>24</v>
      </c>
      <c r="U27" s="7">
        <v>0</v>
      </c>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row>
    <row r="28" spans="2:240" s="4" customFormat="1" ht="61.05" customHeight="1" x14ac:dyDescent="0.3">
      <c r="B28" s="431" t="s">
        <v>33</v>
      </c>
      <c r="C28" s="395"/>
      <c r="D28" s="377">
        <v>5031219000</v>
      </c>
      <c r="E28" s="503" t="s">
        <v>82</v>
      </c>
      <c r="F28" s="690" t="s">
        <v>83</v>
      </c>
      <c r="G28" s="691"/>
      <c r="H28" s="654" t="s">
        <v>84</v>
      </c>
      <c r="I28" s="643"/>
      <c r="J28" s="643"/>
      <c r="K28" s="643"/>
      <c r="L28" s="378">
        <f>'สรุปใช้งบ 31กค'!H24</f>
        <v>305300</v>
      </c>
      <c r="M28" s="41">
        <f>'สรุปใช้งบ 31กค'!L24</f>
        <v>126239.72</v>
      </c>
      <c r="N28" s="417">
        <f t="shared" si="1"/>
        <v>0.41349400589584018</v>
      </c>
      <c r="O28" s="578">
        <f>'[15]2570'!$E$8</f>
        <v>1580000</v>
      </c>
      <c r="P28" s="425">
        <f t="shared" si="2"/>
        <v>1274700</v>
      </c>
      <c r="Q28" s="422">
        <f t="shared" si="3"/>
        <v>4.1752374713396661</v>
      </c>
      <c r="R28" s="469" t="str">
        <f t="shared" si="0"/>
        <v>เพิ่มขึ้น</v>
      </c>
      <c r="S28" s="579" t="s">
        <v>689</v>
      </c>
      <c r="T28" s="6" t="s">
        <v>24</v>
      </c>
      <c r="U28" s="7">
        <v>0</v>
      </c>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row>
    <row r="29" spans="2:240" s="4" customFormat="1" ht="29.55" customHeight="1" x14ac:dyDescent="0.3">
      <c r="B29" s="387"/>
      <c r="C29" s="395" t="s">
        <v>67</v>
      </c>
      <c r="D29" s="377" t="s">
        <v>333</v>
      </c>
      <c r="E29" s="503" t="s">
        <v>85</v>
      </c>
      <c r="F29" s="724" t="s">
        <v>86</v>
      </c>
      <c r="G29" s="725"/>
      <c r="H29" s="654" t="s">
        <v>645</v>
      </c>
      <c r="I29" s="643"/>
      <c r="J29" s="643"/>
      <c r="K29" s="643"/>
      <c r="L29" s="378">
        <f>'สรุปใช้งบ 31กค'!H26</f>
        <v>150000</v>
      </c>
      <c r="M29" s="307">
        <f>'สรุปใช้งบ 31กค'!L26</f>
        <v>0</v>
      </c>
      <c r="N29" s="527">
        <f t="shared" si="1"/>
        <v>0</v>
      </c>
      <c r="O29" s="52">
        <f>'[16]2570'!$D$13</f>
        <v>150000</v>
      </c>
      <c r="P29" s="411">
        <f t="shared" si="2"/>
        <v>0</v>
      </c>
      <c r="Q29" s="528">
        <f t="shared" si="3"/>
        <v>0</v>
      </c>
      <c r="R29" s="469" t="str">
        <f t="shared" si="0"/>
        <v>--</v>
      </c>
      <c r="S29" s="521" t="s">
        <v>670</v>
      </c>
      <c r="T29" s="6" t="s">
        <v>24</v>
      </c>
      <c r="U29" s="7">
        <v>0</v>
      </c>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row>
    <row r="30" spans="2:240" s="4" customFormat="1" ht="28.5" customHeight="1" x14ac:dyDescent="0.3">
      <c r="B30" s="600"/>
      <c r="C30" s="395" t="s">
        <v>67</v>
      </c>
      <c r="D30" s="377" t="s">
        <v>337</v>
      </c>
      <c r="E30" s="503" t="s">
        <v>88</v>
      </c>
      <c r="F30" s="724" t="s">
        <v>89</v>
      </c>
      <c r="G30" s="725"/>
      <c r="H30" s="654" t="s">
        <v>90</v>
      </c>
      <c r="I30" s="643"/>
      <c r="J30" s="643"/>
      <c r="K30" s="643"/>
      <c r="L30" s="378">
        <f>'สรุปใช้งบ 31กค'!H27</f>
        <v>80000</v>
      </c>
      <c r="M30" s="41">
        <f>'สรุปใช้งบ 31กค'!L27</f>
        <v>24068</v>
      </c>
      <c r="N30" s="417">
        <f t="shared" si="1"/>
        <v>0.30085000000000001</v>
      </c>
      <c r="O30" s="52">
        <f>'[17]2570'!$C$20</f>
        <v>80000</v>
      </c>
      <c r="P30" s="411">
        <f>O30-L30</f>
        <v>0</v>
      </c>
      <c r="Q30" s="527">
        <f t="shared" si="3"/>
        <v>0</v>
      </c>
      <c r="R30" s="469" t="str">
        <f t="shared" si="0"/>
        <v>--</v>
      </c>
      <c r="S30" s="440" t="s">
        <v>91</v>
      </c>
      <c r="T30" s="6" t="s">
        <v>24</v>
      </c>
      <c r="U30" s="7">
        <v>0</v>
      </c>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row>
    <row r="31" spans="2:240" s="4" customFormat="1" ht="19.5" customHeight="1" x14ac:dyDescent="0.3">
      <c r="B31" s="600"/>
      <c r="C31" s="603" t="s">
        <v>25</v>
      </c>
      <c r="D31" s="677">
        <v>5031134000</v>
      </c>
      <c r="E31" s="719" t="s">
        <v>92</v>
      </c>
      <c r="F31" s="709" t="s">
        <v>93</v>
      </c>
      <c r="G31" s="710"/>
      <c r="H31" s="654" t="s">
        <v>94</v>
      </c>
      <c r="I31" s="643"/>
      <c r="J31" s="643"/>
      <c r="K31" s="643"/>
      <c r="L31" s="378">
        <f>SUM(L32:L35)</f>
        <v>1597000</v>
      </c>
      <c r="M31" s="41">
        <f>'สรุปใช้งบ 31กค'!L28</f>
        <v>369502.95</v>
      </c>
      <c r="N31" s="417">
        <f t="shared" si="1"/>
        <v>0.23137316844082656</v>
      </c>
      <c r="O31" s="52">
        <f>SUM(O32:O35)</f>
        <v>1630000</v>
      </c>
      <c r="P31" s="479">
        <f t="shared" si="2"/>
        <v>33000</v>
      </c>
      <c r="Q31" s="418">
        <f t="shared" si="3"/>
        <v>2.0663744520976746E-2</v>
      </c>
      <c r="R31" s="482" t="str">
        <f t="shared" si="0"/>
        <v>เพิ่มขึ้น</v>
      </c>
      <c r="S31" s="483" t="s">
        <v>95</v>
      </c>
      <c r="T31" s="6" t="s">
        <v>24</v>
      </c>
      <c r="U31" s="7">
        <v>0</v>
      </c>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row>
    <row r="32" spans="2:240" s="4" customFormat="1" ht="18.7" customHeight="1" x14ac:dyDescent="0.3">
      <c r="B32" s="600"/>
      <c r="C32" s="603"/>
      <c r="D32" s="678"/>
      <c r="E32" s="720"/>
      <c r="F32" s="729"/>
      <c r="G32" s="730"/>
      <c r="H32" s="655" t="s">
        <v>96</v>
      </c>
      <c r="I32" s="649"/>
      <c r="J32" s="649"/>
      <c r="K32" s="649"/>
      <c r="L32" s="379">
        <f>Dataผลพิปี69!U63</f>
        <v>460000</v>
      </c>
      <c r="M32" s="42" t="s">
        <v>97</v>
      </c>
      <c r="N32" s="468">
        <f t="shared" si="1"/>
        <v>1</v>
      </c>
      <c r="O32" s="53">
        <f>'[18]รวม คชจ.ปี 70'!$C$23</f>
        <v>480000</v>
      </c>
      <c r="P32" s="421">
        <f t="shared" si="2"/>
        <v>20000</v>
      </c>
      <c r="Q32" s="423">
        <f t="shared" si="3"/>
        <v>4.3478260869565188E-2</v>
      </c>
      <c r="R32" s="424" t="str">
        <f t="shared" si="0"/>
        <v>เพิ่มขึ้น</v>
      </c>
      <c r="S32" s="485" t="s">
        <v>682</v>
      </c>
      <c r="T32" s="8" t="s">
        <v>24</v>
      </c>
      <c r="U32" s="9">
        <v>0</v>
      </c>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row>
    <row r="33" spans="2:240" s="4" customFormat="1" ht="18.7" customHeight="1" x14ac:dyDescent="0.3">
      <c r="B33" s="600"/>
      <c r="C33" s="603"/>
      <c r="D33" s="678"/>
      <c r="E33" s="720"/>
      <c r="F33" s="729"/>
      <c r="G33" s="730"/>
      <c r="H33" s="655" t="s">
        <v>99</v>
      </c>
      <c r="I33" s="649"/>
      <c r="J33" s="649"/>
      <c r="K33" s="649"/>
      <c r="L33" s="379">
        <f>Dataผลพิปี69!U64</f>
        <v>587000</v>
      </c>
      <c r="M33" s="42" t="s">
        <v>97</v>
      </c>
      <c r="N33" s="468">
        <f t="shared" si="1"/>
        <v>1</v>
      </c>
      <c r="O33" s="53">
        <f>'[18]รวม คชจ.ปี 70'!$C$24</f>
        <v>500000</v>
      </c>
      <c r="P33" s="414">
        <f t="shared" si="2"/>
        <v>-87000</v>
      </c>
      <c r="Q33" s="466">
        <f t="shared" si="3"/>
        <v>-0.14821124361158433</v>
      </c>
      <c r="R33" s="49" t="str">
        <f t="shared" si="0"/>
        <v>ลดลง</v>
      </c>
      <c r="S33" s="34" t="s">
        <v>681</v>
      </c>
      <c r="T33" s="8" t="s">
        <v>24</v>
      </c>
      <c r="U33" s="9">
        <v>0</v>
      </c>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row>
    <row r="34" spans="2:240" s="4" customFormat="1" ht="18.7" customHeight="1" x14ac:dyDescent="0.3">
      <c r="B34" s="600"/>
      <c r="C34" s="603"/>
      <c r="D34" s="678"/>
      <c r="E34" s="720"/>
      <c r="F34" s="729"/>
      <c r="G34" s="730"/>
      <c r="H34" s="655" t="s">
        <v>101</v>
      </c>
      <c r="I34" s="649"/>
      <c r="J34" s="649"/>
      <c r="K34" s="649"/>
      <c r="L34" s="379">
        <f>Dataผลพิปี69!U65</f>
        <v>400000</v>
      </c>
      <c r="M34" s="42" t="s">
        <v>97</v>
      </c>
      <c r="N34" s="468">
        <f t="shared" si="1"/>
        <v>1</v>
      </c>
      <c r="O34" s="53">
        <f>'[18]รวม คชจ.ปี 70'!$C$24</f>
        <v>500000</v>
      </c>
      <c r="P34" s="421">
        <f t="shared" si="2"/>
        <v>100000</v>
      </c>
      <c r="Q34" s="423">
        <f t="shared" si="3"/>
        <v>0.25</v>
      </c>
      <c r="R34" s="424" t="str">
        <f t="shared" si="0"/>
        <v>เพิ่มขึ้น</v>
      </c>
      <c r="S34" s="480" t="s">
        <v>680</v>
      </c>
      <c r="T34" s="8" t="s">
        <v>24</v>
      </c>
      <c r="U34" s="9">
        <v>0</v>
      </c>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row>
    <row r="35" spans="2:240" s="4" customFormat="1" ht="18.7" customHeight="1" x14ac:dyDescent="0.3">
      <c r="B35" s="600"/>
      <c r="C35" s="603"/>
      <c r="D35" s="679"/>
      <c r="E35" s="721"/>
      <c r="F35" s="731"/>
      <c r="G35" s="732"/>
      <c r="H35" s="655" t="s">
        <v>103</v>
      </c>
      <c r="I35" s="649"/>
      <c r="J35" s="649"/>
      <c r="K35" s="649"/>
      <c r="L35" s="379">
        <f>Dataผลพิปี69!U66</f>
        <v>150000</v>
      </c>
      <c r="M35" s="42" t="s">
        <v>97</v>
      </c>
      <c r="N35" s="468">
        <f t="shared" si="1"/>
        <v>1</v>
      </c>
      <c r="O35" s="53">
        <f>'[18]รวม คชจ.ปี 70'!$C$26</f>
        <v>150000</v>
      </c>
      <c r="P35" s="388">
        <f t="shared" si="2"/>
        <v>0</v>
      </c>
      <c r="Q35" s="529">
        <f t="shared" si="3"/>
        <v>0</v>
      </c>
      <c r="R35" s="49" t="str">
        <f t="shared" si="0"/>
        <v>--</v>
      </c>
      <c r="S35" s="481" t="s">
        <v>679</v>
      </c>
      <c r="T35" s="8" t="s">
        <v>24</v>
      </c>
      <c r="U35" s="9">
        <v>0</v>
      </c>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row>
    <row r="36" spans="2:240" s="4" customFormat="1" ht="69.5" customHeight="1" x14ac:dyDescent="0.3">
      <c r="B36" s="387"/>
      <c r="C36" s="395" t="s">
        <v>25</v>
      </c>
      <c r="D36" s="377" t="s">
        <v>347</v>
      </c>
      <c r="E36" s="503" t="s">
        <v>105</v>
      </c>
      <c r="F36" s="709" t="s">
        <v>106</v>
      </c>
      <c r="G36" s="710"/>
      <c r="H36" s="654" t="s">
        <v>107</v>
      </c>
      <c r="I36" s="643"/>
      <c r="J36" s="643"/>
      <c r="K36" s="643"/>
      <c r="L36" s="378">
        <f>'สรุปใช้งบ 31กค'!H29</f>
        <v>27000</v>
      </c>
      <c r="M36" s="41">
        <f>'สรุปใช้งบ 31กค'!L29</f>
        <v>1177</v>
      </c>
      <c r="N36" s="417">
        <f t="shared" si="1"/>
        <v>4.3592592592592593E-2</v>
      </c>
      <c r="O36" s="52">
        <f>'[19]2570'!$D$28</f>
        <v>40000</v>
      </c>
      <c r="P36" s="425">
        <f t="shared" si="2"/>
        <v>13000</v>
      </c>
      <c r="Q36" s="422">
        <f t="shared" si="3"/>
        <v>0.4814814814814814</v>
      </c>
      <c r="R36" s="467" t="str">
        <f t="shared" si="0"/>
        <v>เพิ่มขึ้น</v>
      </c>
      <c r="S36" s="433" t="s">
        <v>663</v>
      </c>
      <c r="T36" s="6" t="s">
        <v>24</v>
      </c>
      <c r="U36" s="7">
        <v>0</v>
      </c>
      <c r="V36" s="5"/>
      <c r="W36" s="581" t="s">
        <v>690</v>
      </c>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row>
    <row r="37" spans="2:240" s="4" customFormat="1" ht="19.05" customHeight="1" x14ac:dyDescent="0.3">
      <c r="B37" s="431" t="s">
        <v>108</v>
      </c>
      <c r="C37" s="395" t="s">
        <v>109</v>
      </c>
      <c r="D37" s="377">
        <v>5031118000</v>
      </c>
      <c r="E37" s="501" t="s">
        <v>110</v>
      </c>
      <c r="F37" s="726" t="s">
        <v>111</v>
      </c>
      <c r="G37" s="716"/>
      <c r="H37" s="713" t="s">
        <v>112</v>
      </c>
      <c r="I37" s="714"/>
      <c r="J37" s="714"/>
      <c r="K37" s="714"/>
      <c r="L37" s="378">
        <f>'สรุปใช้งบ 31กค'!H32</f>
        <v>6300</v>
      </c>
      <c r="M37" s="41">
        <f>'สรุปใช้งบ 31กค'!L32</f>
        <v>5550</v>
      </c>
      <c r="N37" s="417">
        <f t="shared" si="1"/>
        <v>0.88095238095238093</v>
      </c>
      <c r="O37" s="52">
        <f>'[20]ค่าสิทธิการใช้โปรแกรม ปี 70'!$H$202</f>
        <v>8800</v>
      </c>
      <c r="P37" s="425">
        <f t="shared" si="2"/>
        <v>2500</v>
      </c>
      <c r="Q37" s="422">
        <f t="shared" si="3"/>
        <v>0.39682539682539675</v>
      </c>
      <c r="R37" s="467" t="str">
        <f t="shared" si="0"/>
        <v>เพิ่มขึ้น</v>
      </c>
      <c r="S37" s="505" t="s">
        <v>678</v>
      </c>
      <c r="T37" s="6">
        <v>4</v>
      </c>
      <c r="U37" s="7">
        <f>'[20]ค่าสิทธิการใช้โปรแกรม ปี 70'!$I$202</f>
        <v>8800</v>
      </c>
      <c r="V37" s="5"/>
      <c r="W37" s="580">
        <f>U37</f>
        <v>8800</v>
      </c>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row>
    <row r="38" spans="2:240" s="4" customFormat="1" ht="19.05" customHeight="1" x14ac:dyDescent="0.3">
      <c r="B38" s="600"/>
      <c r="C38" s="395" t="s">
        <v>25</v>
      </c>
      <c r="D38" s="377" t="s">
        <v>363</v>
      </c>
      <c r="E38" s="503" t="s">
        <v>114</v>
      </c>
      <c r="F38" s="727" t="s">
        <v>115</v>
      </c>
      <c r="G38" s="728"/>
      <c r="H38" s="713" t="s">
        <v>116</v>
      </c>
      <c r="I38" s="714"/>
      <c r="J38" s="714"/>
      <c r="K38" s="714"/>
      <c r="L38" s="380">
        <f>'สรุปใช้งบ 31กค'!H33</f>
        <v>23000</v>
      </c>
      <c r="M38" s="41">
        <f>L38</f>
        <v>23000</v>
      </c>
      <c r="N38" s="417">
        <f t="shared" si="1"/>
        <v>1</v>
      </c>
      <c r="O38" s="52">
        <f>'[21]ค่าสิทธิการใช้โปรแกรม ปี 70'!$H$202</f>
        <v>48000</v>
      </c>
      <c r="P38" s="478">
        <f t="shared" si="2"/>
        <v>25000</v>
      </c>
      <c r="Q38" s="422">
        <f t="shared" si="3"/>
        <v>1.0869565217391304</v>
      </c>
      <c r="R38" s="467" t="str">
        <f t="shared" si="0"/>
        <v>เพิ่มขึ้น</v>
      </c>
      <c r="S38" s="433" t="s">
        <v>677</v>
      </c>
      <c r="T38" s="6">
        <v>1</v>
      </c>
      <c r="U38" s="584">
        <f>'[21]ค่าสิทธิการใช้โปรแกรม ปี 70'!$I$202</f>
        <v>0</v>
      </c>
      <c r="V38" s="5"/>
      <c r="W38" s="580"/>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row>
    <row r="39" spans="2:240" s="4" customFormat="1" ht="19.05" customHeight="1" x14ac:dyDescent="0.3">
      <c r="B39" s="600"/>
      <c r="C39" s="395" t="s">
        <v>25</v>
      </c>
      <c r="D39" s="377">
        <v>5031131000</v>
      </c>
      <c r="E39" s="501" t="s">
        <v>118</v>
      </c>
      <c r="F39" s="626" t="s">
        <v>119</v>
      </c>
      <c r="G39" s="627"/>
      <c r="H39" s="654" t="s">
        <v>120</v>
      </c>
      <c r="I39" s="643"/>
      <c r="J39" s="643"/>
      <c r="K39" s="643"/>
      <c r="L39" s="401">
        <f>'สรุปใช้งบ 31กค'!H30</f>
        <v>220000</v>
      </c>
      <c r="M39" s="41">
        <f>'สรุปใช้งบ 31กค'!L30</f>
        <v>60000</v>
      </c>
      <c r="N39" s="417">
        <f t="shared" si="1"/>
        <v>0.27272727272727271</v>
      </c>
      <c r="O39" s="52">
        <f>'[22]2570'!$E$7</f>
        <v>220000</v>
      </c>
      <c r="P39" s="411">
        <f t="shared" si="2"/>
        <v>0</v>
      </c>
      <c r="Q39" s="527">
        <f t="shared" si="3"/>
        <v>0</v>
      </c>
      <c r="R39" s="426" t="str">
        <f t="shared" si="0"/>
        <v>--</v>
      </c>
      <c r="S39" s="438" t="s">
        <v>121</v>
      </c>
      <c r="T39" s="6" t="s">
        <v>24</v>
      </c>
      <c r="U39" s="7">
        <v>0</v>
      </c>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row>
    <row r="40" spans="2:240" s="4" customFormat="1" ht="19.5" customHeight="1" x14ac:dyDescent="0.3">
      <c r="B40" s="387"/>
      <c r="C40" s="486" t="s">
        <v>122</v>
      </c>
      <c r="D40" s="685" t="s">
        <v>123</v>
      </c>
      <c r="E40" s="686"/>
      <c r="F40" s="687"/>
      <c r="G40" s="686"/>
      <c r="H40" s="448" t="s">
        <v>124</v>
      </c>
      <c r="I40" s="449" t="s">
        <v>125</v>
      </c>
      <c r="J40" s="493" t="s">
        <v>126</v>
      </c>
      <c r="K40" s="494" t="s">
        <v>127</v>
      </c>
      <c r="L40" s="403">
        <f>SUM(L41:L80)</f>
        <v>29633600</v>
      </c>
      <c r="M40" s="403">
        <f>SUM(M41:M80)</f>
        <v>25341985</v>
      </c>
      <c r="N40" s="536">
        <f t="shared" si="1"/>
        <v>0.85517739997840292</v>
      </c>
      <c r="O40" s="55">
        <f>SUM(O41:O80)</f>
        <v>35641500</v>
      </c>
      <c r="P40" s="412">
        <f t="shared" si="2"/>
        <v>6007900</v>
      </c>
      <c r="Q40" s="484">
        <f t="shared" si="3"/>
        <v>0.20273945791263981</v>
      </c>
      <c r="R40" s="49" t="str">
        <f t="shared" si="0"/>
        <v>เพิ่มขึ้น</v>
      </c>
      <c r="S40" s="36"/>
      <c r="T40" s="12"/>
      <c r="U40" s="403">
        <f>SUM(U41:U80)</f>
        <v>0</v>
      </c>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row>
    <row r="41" spans="2:240" s="16" customFormat="1" ht="44.55" customHeight="1" x14ac:dyDescent="0.3">
      <c r="B41" s="491" t="s">
        <v>128</v>
      </c>
      <c r="C41" s="395" t="s">
        <v>129</v>
      </c>
      <c r="D41" s="376" t="s">
        <v>130</v>
      </c>
      <c r="E41" s="376" t="s">
        <v>131</v>
      </c>
      <c r="F41" s="722" t="s">
        <v>132</v>
      </c>
      <c r="G41" s="723"/>
      <c r="H41" s="450" t="s">
        <v>20</v>
      </c>
      <c r="I41" s="451">
        <v>0</v>
      </c>
      <c r="J41" s="495">
        <v>1</v>
      </c>
      <c r="K41" s="506">
        <f>ROUNDUP(1630894,-4)</f>
        <v>1640000</v>
      </c>
      <c r="L41" s="402"/>
      <c r="M41" s="41"/>
      <c r="N41" s="417">
        <f t="shared" si="1"/>
        <v>1</v>
      </c>
      <c r="O41" s="56">
        <f t="shared" ref="O41:O68" si="5">K41*J41</f>
        <v>1640000</v>
      </c>
      <c r="P41" s="425">
        <f t="shared" si="2"/>
        <v>1640000</v>
      </c>
      <c r="Q41" s="422">
        <f t="shared" si="3"/>
        <v>1</v>
      </c>
      <c r="R41" s="424" t="str">
        <f t="shared" si="0"/>
        <v>เพิ่มขึ้น</v>
      </c>
      <c r="S41" s="505" t="s">
        <v>633</v>
      </c>
      <c r="T41" s="22"/>
      <c r="U41" s="23"/>
      <c r="V41" s="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row>
    <row r="42" spans="2:240" s="16" customFormat="1" ht="25.05" customHeight="1" x14ac:dyDescent="0.3">
      <c r="B42" s="393" t="s">
        <v>133</v>
      </c>
      <c r="C42" s="395" t="s">
        <v>129</v>
      </c>
      <c r="D42" s="376" t="s">
        <v>130</v>
      </c>
      <c r="E42" s="376" t="s">
        <v>134</v>
      </c>
      <c r="F42" s="662" t="s">
        <v>135</v>
      </c>
      <c r="G42" s="664"/>
      <c r="H42" s="450" t="s">
        <v>20</v>
      </c>
      <c r="I42" s="451">
        <v>0</v>
      </c>
      <c r="J42" s="495">
        <v>1</v>
      </c>
      <c r="K42" s="506">
        <f>ROUNDUP(150000,-4)</f>
        <v>150000</v>
      </c>
      <c r="L42" s="381">
        <v>0</v>
      </c>
      <c r="M42" s="307">
        <v>0</v>
      </c>
      <c r="N42" s="417">
        <f t="shared" si="1"/>
        <v>1</v>
      </c>
      <c r="O42" s="56">
        <f t="shared" si="5"/>
        <v>150000</v>
      </c>
      <c r="P42" s="425">
        <f t="shared" si="2"/>
        <v>150000</v>
      </c>
      <c r="Q42" s="422">
        <f t="shared" si="3"/>
        <v>1</v>
      </c>
      <c r="R42" s="424" t="str">
        <f t="shared" si="0"/>
        <v>เพิ่มขึ้น</v>
      </c>
      <c r="S42" s="433" t="s">
        <v>136</v>
      </c>
      <c r="T42" s="22"/>
      <c r="U42" s="23"/>
      <c r="V42" s="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row>
    <row r="43" spans="2:240" s="16" customFormat="1" ht="25.05" customHeight="1" x14ac:dyDescent="0.3">
      <c r="B43" s="604" t="s">
        <v>137</v>
      </c>
      <c r="C43" s="395" t="s">
        <v>138</v>
      </c>
      <c r="D43" s="593" t="s">
        <v>130</v>
      </c>
      <c r="E43" s="520" t="s">
        <v>139</v>
      </c>
      <c r="F43" s="598" t="s">
        <v>140</v>
      </c>
      <c r="G43" s="599"/>
      <c r="H43" s="450" t="s">
        <v>20</v>
      </c>
      <c r="I43" s="451">
        <v>0</v>
      </c>
      <c r="J43" s="495">
        <v>2</v>
      </c>
      <c r="K43" s="506">
        <f>ROUNDUP((2339000+368508)*110%,-4)</f>
        <v>2980000</v>
      </c>
      <c r="L43" s="381">
        <v>0</v>
      </c>
      <c r="M43" s="307">
        <v>0</v>
      </c>
      <c r="N43" s="417">
        <f t="shared" si="1"/>
        <v>1</v>
      </c>
      <c r="O43" s="56">
        <f>K43*J43</f>
        <v>5960000</v>
      </c>
      <c r="P43" s="425">
        <f t="shared" si="2"/>
        <v>5960000</v>
      </c>
      <c r="Q43" s="422">
        <f t="shared" si="3"/>
        <v>1</v>
      </c>
      <c r="R43" s="424" t="str">
        <f t="shared" si="0"/>
        <v>เพิ่มขึ้น</v>
      </c>
      <c r="S43" s="505" t="s">
        <v>646</v>
      </c>
      <c r="T43" s="22"/>
      <c r="U43" s="23"/>
      <c r="V43" s="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row>
    <row r="44" spans="2:240" s="16" customFormat="1" ht="20.55" customHeight="1" x14ac:dyDescent="0.3">
      <c r="B44" s="604"/>
      <c r="C44" s="395" t="s">
        <v>138</v>
      </c>
      <c r="D44" s="595"/>
      <c r="E44" s="520" t="s">
        <v>141</v>
      </c>
      <c r="F44" s="598" t="s">
        <v>142</v>
      </c>
      <c r="G44" s="599"/>
      <c r="H44" s="450" t="s">
        <v>20</v>
      </c>
      <c r="I44" s="451">
        <v>0</v>
      </c>
      <c r="J44" s="495">
        <v>1</v>
      </c>
      <c r="K44" s="506">
        <f>ROUNDUP((1904000+368508)*110%,-4)</f>
        <v>2500000</v>
      </c>
      <c r="L44" s="381">
        <v>0</v>
      </c>
      <c r="M44" s="307">
        <v>0</v>
      </c>
      <c r="N44" s="417">
        <f t="shared" si="1"/>
        <v>1</v>
      </c>
      <c r="O44" s="56">
        <f t="shared" si="5"/>
        <v>2500000</v>
      </c>
      <c r="P44" s="425">
        <f t="shared" si="2"/>
        <v>2500000</v>
      </c>
      <c r="Q44" s="422">
        <f t="shared" si="3"/>
        <v>1</v>
      </c>
      <c r="R44" s="424" t="str">
        <f t="shared" si="0"/>
        <v>เพิ่มขึ้น</v>
      </c>
      <c r="S44" s="505" t="s">
        <v>647</v>
      </c>
      <c r="T44" s="22"/>
      <c r="U44" s="23"/>
      <c r="V44" s="5"/>
      <c r="W44" s="563">
        <f>P43+P44</f>
        <v>8460000</v>
      </c>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row>
    <row r="45" spans="2:240" s="16" customFormat="1" ht="36.5" customHeight="1" x14ac:dyDescent="0.3">
      <c r="B45" s="499" t="s">
        <v>143</v>
      </c>
      <c r="C45" s="395" t="s">
        <v>129</v>
      </c>
      <c r="D45" s="376" t="s">
        <v>130</v>
      </c>
      <c r="E45" s="520" t="s">
        <v>144</v>
      </c>
      <c r="F45" s="598" t="s">
        <v>145</v>
      </c>
      <c r="G45" s="599"/>
      <c r="H45" s="450">
        <v>1</v>
      </c>
      <c r="I45" s="451">
        <f>'ผลพิ69-สรุป'!I49</f>
        <v>3902400</v>
      </c>
      <c r="J45" s="495">
        <v>1</v>
      </c>
      <c r="K45" s="506">
        <v>1300000</v>
      </c>
      <c r="L45" s="381">
        <f>'สรุปใช้งบ 31กค'!H45</f>
        <v>3902400</v>
      </c>
      <c r="M45" s="307">
        <f>'สรุปใช้งบ 31กค'!L45</f>
        <v>1000000</v>
      </c>
      <c r="N45" s="417">
        <f t="shared" si="1"/>
        <v>0.25625256252562528</v>
      </c>
      <c r="O45" s="56">
        <f>K45*J45</f>
        <v>1300000</v>
      </c>
      <c r="P45" s="413">
        <f t="shared" si="2"/>
        <v>-2602400</v>
      </c>
      <c r="Q45" s="418">
        <f t="shared" si="3"/>
        <v>-0.66687166871668713</v>
      </c>
      <c r="R45" s="442" t="str">
        <f t="shared" si="0"/>
        <v>ลดลง</v>
      </c>
      <c r="S45" s="434" t="s">
        <v>634</v>
      </c>
      <c r="T45" s="22"/>
      <c r="U45" s="23"/>
      <c r="V45" s="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row>
    <row r="46" spans="2:240" s="16" customFormat="1" ht="22.5" customHeight="1" x14ac:dyDescent="0.3">
      <c r="B46" s="397"/>
      <c r="C46" s="395" t="s">
        <v>146</v>
      </c>
      <c r="D46" s="10">
        <v>1800012085</v>
      </c>
      <c r="E46" s="520" t="s">
        <v>148</v>
      </c>
      <c r="F46" s="598" t="str">
        <f>[23]แบบสำรวจอุปกรณ์!$D$22</f>
        <v>อุปกรณ์เคลื่อนย้ายรถ</v>
      </c>
      <c r="G46" s="599"/>
      <c r="H46" s="450" t="s">
        <v>20</v>
      </c>
      <c r="I46" s="451">
        <v>0</v>
      </c>
      <c r="J46" s="495">
        <f>[23]แบบสำรวจอุปกรณ์!$AB$22</f>
        <v>1</v>
      </c>
      <c r="K46" s="506">
        <f>ROUNDUP(23433*110%,-3)</f>
        <v>26000</v>
      </c>
      <c r="L46" s="381">
        <v>0</v>
      </c>
      <c r="M46" s="307">
        <v>0</v>
      </c>
      <c r="N46" s="417">
        <f t="shared" si="1"/>
        <v>1</v>
      </c>
      <c r="O46" s="56">
        <f t="shared" si="5"/>
        <v>26000</v>
      </c>
      <c r="P46" s="425">
        <f t="shared" si="2"/>
        <v>26000</v>
      </c>
      <c r="Q46" s="422">
        <f t="shared" si="3"/>
        <v>1</v>
      </c>
      <c r="R46" s="424" t="str">
        <f t="shared" si="0"/>
        <v>เพิ่มขึ้น</v>
      </c>
      <c r="S46" s="433" t="s">
        <v>635</v>
      </c>
      <c r="T46" s="22"/>
      <c r="U46" s="23"/>
      <c r="V46" s="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E46" s="15"/>
      <c r="GF46" s="15"/>
      <c r="GG46" s="15"/>
      <c r="GH46" s="15"/>
      <c r="GI46" s="15"/>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row>
    <row r="47" spans="2:240" s="16" customFormat="1" ht="33" customHeight="1" x14ac:dyDescent="0.3">
      <c r="B47" s="387"/>
      <c r="C47" s="395" t="s">
        <v>149</v>
      </c>
      <c r="D47" s="10">
        <v>1800009014</v>
      </c>
      <c r="E47" s="520" t="s">
        <v>150</v>
      </c>
      <c r="F47" s="601" t="s">
        <v>684</v>
      </c>
      <c r="G47" s="602"/>
      <c r="H47" s="450" t="s">
        <v>20</v>
      </c>
      <c r="I47" s="451">
        <v>0</v>
      </c>
      <c r="J47" s="495">
        <v>10</v>
      </c>
      <c r="K47" s="569">
        <f>ROUNDUP((18990)*105%,-3)</f>
        <v>20000</v>
      </c>
      <c r="L47" s="381">
        <v>0</v>
      </c>
      <c r="M47" s="307">
        <v>0</v>
      </c>
      <c r="N47" s="417">
        <f t="shared" si="1"/>
        <v>1</v>
      </c>
      <c r="O47" s="56">
        <f>K47*J47</f>
        <v>200000</v>
      </c>
      <c r="P47" s="425">
        <f t="shared" si="2"/>
        <v>200000</v>
      </c>
      <c r="Q47" s="422">
        <f t="shared" si="3"/>
        <v>1</v>
      </c>
      <c r="R47" s="424" t="str">
        <f t="shared" si="0"/>
        <v>เพิ่มขึ้น</v>
      </c>
      <c r="S47" s="433" t="s">
        <v>637</v>
      </c>
      <c r="T47" s="22"/>
      <c r="U47" s="23"/>
      <c r="V47" s="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row>
    <row r="48" spans="2:240" s="16" customFormat="1" ht="21.7" customHeight="1" x14ac:dyDescent="0.3">
      <c r="B48" s="596" t="s">
        <v>668</v>
      </c>
      <c r="C48" s="597" t="s">
        <v>152</v>
      </c>
      <c r="D48" s="593">
        <v>1800009015</v>
      </c>
      <c r="E48" s="692" t="s">
        <v>153</v>
      </c>
      <c r="F48" s="601" t="s">
        <v>154</v>
      </c>
      <c r="G48" s="602"/>
      <c r="H48" s="450" t="s">
        <v>20</v>
      </c>
      <c r="I48" s="451">
        <v>0</v>
      </c>
      <c r="J48" s="495">
        <v>3</v>
      </c>
      <c r="K48" s="506">
        <f>ROUNDUP((25000*107%),-3)</f>
        <v>27000</v>
      </c>
      <c r="L48" s="381">
        <v>0</v>
      </c>
      <c r="M48" s="307">
        <v>0</v>
      </c>
      <c r="N48" s="417">
        <f t="shared" si="1"/>
        <v>1</v>
      </c>
      <c r="O48" s="56">
        <f t="shared" si="5"/>
        <v>81000</v>
      </c>
      <c r="P48" s="425">
        <f t="shared" si="2"/>
        <v>81000</v>
      </c>
      <c r="Q48" s="422">
        <f t="shared" si="3"/>
        <v>1</v>
      </c>
      <c r="R48" s="424" t="str">
        <f t="shared" si="0"/>
        <v>เพิ่มขึ้น</v>
      </c>
      <c r="S48" s="623" t="s">
        <v>667</v>
      </c>
      <c r="T48" s="22"/>
      <c r="U48" s="23"/>
      <c r="V48" s="5"/>
      <c r="W48" s="564">
        <f>SUM(O48:O49)</f>
        <v>162000</v>
      </c>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c r="GM48" s="15"/>
      <c r="GN48" s="15"/>
      <c r="GO48" s="15"/>
      <c r="GP48" s="15"/>
      <c r="GQ48" s="15"/>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row>
    <row r="49" spans="2:240" s="16" customFormat="1" ht="21.7" customHeight="1" x14ac:dyDescent="0.3">
      <c r="B49" s="596"/>
      <c r="C49" s="597"/>
      <c r="D49" s="594"/>
      <c r="E49" s="693"/>
      <c r="F49" s="601" t="s">
        <v>155</v>
      </c>
      <c r="G49" s="602"/>
      <c r="H49" s="450" t="s">
        <v>20</v>
      </c>
      <c r="I49" s="451">
        <v>0</v>
      </c>
      <c r="J49" s="495">
        <v>3</v>
      </c>
      <c r="K49" s="506">
        <f>ROUNDUP((24500*107%),-3)</f>
        <v>27000</v>
      </c>
      <c r="L49" s="381">
        <v>0</v>
      </c>
      <c r="M49" s="307">
        <v>0</v>
      </c>
      <c r="N49" s="417">
        <f t="shared" si="1"/>
        <v>1</v>
      </c>
      <c r="O49" s="56">
        <f t="shared" si="5"/>
        <v>81000</v>
      </c>
      <c r="P49" s="425">
        <f t="shared" si="2"/>
        <v>81000</v>
      </c>
      <c r="Q49" s="422">
        <f t="shared" si="3"/>
        <v>1</v>
      </c>
      <c r="R49" s="424" t="str">
        <f t="shared" si="0"/>
        <v>เพิ่มขึ้น</v>
      </c>
      <c r="S49" s="625"/>
      <c r="T49" s="22"/>
      <c r="U49" s="23"/>
      <c r="V49" s="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5"/>
      <c r="FU49" s="15"/>
      <c r="FV49" s="15"/>
      <c r="FW49" s="15"/>
      <c r="FX49" s="15"/>
      <c r="FY49" s="15"/>
      <c r="FZ49" s="15"/>
      <c r="GA49" s="15"/>
      <c r="GB49" s="15"/>
      <c r="GC49" s="15"/>
      <c r="GD49" s="15"/>
      <c r="GE49" s="15"/>
      <c r="GF49" s="15"/>
      <c r="GG49" s="15"/>
      <c r="GH49" s="15"/>
      <c r="GI49" s="15"/>
      <c r="GJ49" s="15"/>
      <c r="GK49" s="15"/>
      <c r="GL49" s="15"/>
      <c r="GM49" s="15"/>
      <c r="GN49" s="15"/>
      <c r="GO49" s="15"/>
      <c r="GP49" s="15"/>
      <c r="GQ49" s="15"/>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row>
    <row r="50" spans="2:240" s="16" customFormat="1" ht="21.7" customHeight="1" x14ac:dyDescent="0.3">
      <c r="B50" s="596"/>
      <c r="C50" s="597"/>
      <c r="D50" s="595"/>
      <c r="E50" s="693"/>
      <c r="F50" s="601" t="s">
        <v>156</v>
      </c>
      <c r="G50" s="602"/>
      <c r="H50" s="450" t="s">
        <v>20</v>
      </c>
      <c r="I50" s="451">
        <v>0</v>
      </c>
      <c r="J50" s="495">
        <v>4</v>
      </c>
      <c r="K50" s="506">
        <f>ROUNDUP((27500*107%),-3)</f>
        <v>30000</v>
      </c>
      <c r="L50" s="381">
        <v>0</v>
      </c>
      <c r="M50" s="307">
        <v>0</v>
      </c>
      <c r="N50" s="537">
        <f t="shared" si="1"/>
        <v>1</v>
      </c>
      <c r="O50" s="56">
        <f>K50*J50</f>
        <v>120000</v>
      </c>
      <c r="P50" s="507">
        <f t="shared" si="2"/>
        <v>120000</v>
      </c>
      <c r="Q50" s="508">
        <f t="shared" si="3"/>
        <v>1</v>
      </c>
      <c r="R50" s="509" t="str">
        <f t="shared" si="0"/>
        <v>เพิ่มขึ้น</v>
      </c>
      <c r="S50" s="625"/>
      <c r="T50" s="22"/>
      <c r="U50" s="23"/>
      <c r="V50" s="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row>
    <row r="51" spans="2:240" s="16" customFormat="1" ht="21.7" customHeight="1" x14ac:dyDescent="0.3">
      <c r="B51" s="596"/>
      <c r="C51" s="597"/>
      <c r="D51" s="10">
        <v>1800009016</v>
      </c>
      <c r="E51" s="694"/>
      <c r="F51" s="598" t="s">
        <v>157</v>
      </c>
      <c r="G51" s="599"/>
      <c r="H51" s="450">
        <f>10</f>
        <v>10</v>
      </c>
      <c r="I51" s="451">
        <f>'สรุปใช้งบ 31กค'!H44/10</f>
        <v>176550</v>
      </c>
      <c r="J51" s="495">
        <f>5+6</f>
        <v>11</v>
      </c>
      <c r="K51" s="506">
        <f>ROUNDUP((140000*107%),-1)</f>
        <v>149800</v>
      </c>
      <c r="L51" s="381">
        <f>'สรุปใช้งบ 31กค'!H44</f>
        <v>1765500</v>
      </c>
      <c r="M51" s="307">
        <f>'สรุปใช้งบ 31กค'!L44</f>
        <v>1765500</v>
      </c>
      <c r="N51" s="538">
        <f t="shared" si="1"/>
        <v>1</v>
      </c>
      <c r="O51" s="56">
        <f t="shared" ref="O51" si="6">K51*J51</f>
        <v>1647800</v>
      </c>
      <c r="P51" s="479">
        <f t="shared" si="2"/>
        <v>-117700</v>
      </c>
      <c r="Q51" s="510">
        <f t="shared" si="3"/>
        <v>-6.6666666666666652E-2</v>
      </c>
      <c r="R51" s="482" t="str">
        <f t="shared" si="0"/>
        <v>ลดลง</v>
      </c>
      <c r="S51" s="546" t="s">
        <v>638</v>
      </c>
      <c r="T51" s="22"/>
      <c r="U51" s="23"/>
      <c r="V51" s="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row>
    <row r="52" spans="2:240" s="16" customFormat="1" ht="31.5" customHeight="1" x14ac:dyDescent="0.3">
      <c r="B52" s="387"/>
      <c r="C52" s="395" t="s">
        <v>149</v>
      </c>
      <c r="D52" s="10">
        <v>1800009017</v>
      </c>
      <c r="E52" s="520" t="s">
        <v>159</v>
      </c>
      <c r="F52" s="601" t="s">
        <v>639</v>
      </c>
      <c r="G52" s="602"/>
      <c r="H52" s="450" t="s">
        <v>20</v>
      </c>
      <c r="I52" s="451">
        <v>0</v>
      </c>
      <c r="J52" s="495">
        <v>5</v>
      </c>
      <c r="K52" s="506">
        <f>ROUNDUP((59000*105%),-3)</f>
        <v>62000</v>
      </c>
      <c r="L52" s="381">
        <v>0</v>
      </c>
      <c r="M52" s="307">
        <v>0</v>
      </c>
      <c r="N52" s="539">
        <f t="shared" si="1"/>
        <v>1</v>
      </c>
      <c r="O52" s="56">
        <f>K52*J52</f>
        <v>310000</v>
      </c>
      <c r="P52" s="511">
        <f t="shared" si="2"/>
        <v>310000</v>
      </c>
      <c r="Q52" s="512">
        <f t="shared" si="3"/>
        <v>1</v>
      </c>
      <c r="R52" s="513" t="str">
        <f t="shared" si="0"/>
        <v>เพิ่มขึ้น</v>
      </c>
      <c r="S52" s="514" t="s">
        <v>640</v>
      </c>
      <c r="T52" s="22"/>
      <c r="U52" s="23"/>
      <c r="V52" s="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row>
    <row r="53" spans="2:240" s="16" customFormat="1" ht="21.7" customHeight="1" x14ac:dyDescent="0.3">
      <c r="B53" s="387"/>
      <c r="C53" s="395" t="s">
        <v>149</v>
      </c>
      <c r="D53" s="593">
        <v>1800012038</v>
      </c>
      <c r="E53" s="520" t="s">
        <v>160</v>
      </c>
      <c r="F53" s="601" t="s">
        <v>161</v>
      </c>
      <c r="G53" s="602"/>
      <c r="H53" s="450" t="s">
        <v>20</v>
      </c>
      <c r="I53" s="451">
        <v>0</v>
      </c>
      <c r="J53" s="495">
        <v>2</v>
      </c>
      <c r="K53" s="506">
        <f>630000/2</f>
        <v>315000</v>
      </c>
      <c r="L53" s="381">
        <v>0</v>
      </c>
      <c r="M53" s="307">
        <v>0</v>
      </c>
      <c r="N53" s="417">
        <f t="shared" si="1"/>
        <v>1</v>
      </c>
      <c r="O53" s="56">
        <f t="shared" si="5"/>
        <v>630000</v>
      </c>
      <c r="P53" s="425">
        <f t="shared" si="2"/>
        <v>630000</v>
      </c>
      <c r="Q53" s="422">
        <f t="shared" si="3"/>
        <v>1</v>
      </c>
      <c r="R53" s="424" t="str">
        <f t="shared" si="0"/>
        <v>เพิ่มขึ้น</v>
      </c>
      <c r="S53" s="623" t="s">
        <v>641</v>
      </c>
      <c r="T53" s="22"/>
      <c r="U53" s="23"/>
      <c r="V53" s="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row>
    <row r="54" spans="2:240" s="16" customFormat="1" ht="21.7" customHeight="1" x14ac:dyDescent="0.3">
      <c r="B54" s="393" t="s">
        <v>629</v>
      </c>
      <c r="C54" s="395" t="s">
        <v>149</v>
      </c>
      <c r="D54" s="595"/>
      <c r="E54" s="565" t="s">
        <v>162</v>
      </c>
      <c r="F54" s="733" t="s">
        <v>163</v>
      </c>
      <c r="G54" s="734"/>
      <c r="H54" s="566" t="s">
        <v>20</v>
      </c>
      <c r="I54" s="567">
        <v>0</v>
      </c>
      <c r="J54" s="568">
        <v>100</v>
      </c>
      <c r="K54" s="569">
        <v>120000</v>
      </c>
      <c r="L54" s="570">
        <v>0</v>
      </c>
      <c r="M54" s="571">
        <v>0</v>
      </c>
      <c r="N54" s="572">
        <f t="shared" si="1"/>
        <v>1</v>
      </c>
      <c r="O54" s="573">
        <f t="shared" si="5"/>
        <v>12000000</v>
      </c>
      <c r="P54" s="574">
        <f t="shared" si="2"/>
        <v>12000000</v>
      </c>
      <c r="Q54" s="575">
        <f t="shared" si="3"/>
        <v>1</v>
      </c>
      <c r="R54" s="49" t="str">
        <f t="shared" si="0"/>
        <v>เพิ่มขึ้น</v>
      </c>
      <c r="S54" s="624"/>
      <c r="T54" s="22"/>
      <c r="U54" s="23"/>
      <c r="V54" s="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row>
    <row r="55" spans="2:240" s="16" customFormat="1" ht="36.5" customHeight="1" x14ac:dyDescent="0.3">
      <c r="B55" s="397" t="s">
        <v>164</v>
      </c>
      <c r="C55" s="395" t="s">
        <v>152</v>
      </c>
      <c r="D55" s="10">
        <v>1800009024</v>
      </c>
      <c r="E55" s="520" t="s">
        <v>165</v>
      </c>
      <c r="F55" s="670" t="s">
        <v>166</v>
      </c>
      <c r="G55" s="670"/>
      <c r="H55" s="450" t="s">
        <v>20</v>
      </c>
      <c r="I55" s="451">
        <v>0</v>
      </c>
      <c r="J55" s="495">
        <v>6</v>
      </c>
      <c r="K55" s="506">
        <f>ROUNDUP((171200/6),-3)</f>
        <v>29000</v>
      </c>
      <c r="L55" s="381">
        <v>0</v>
      </c>
      <c r="M55" s="307">
        <v>0</v>
      </c>
      <c r="N55" s="417">
        <f t="shared" si="1"/>
        <v>1</v>
      </c>
      <c r="O55" s="56">
        <f t="shared" si="5"/>
        <v>174000</v>
      </c>
      <c r="P55" s="425">
        <f t="shared" si="2"/>
        <v>174000</v>
      </c>
      <c r="Q55" s="422">
        <f t="shared" si="3"/>
        <v>1</v>
      </c>
      <c r="R55" s="424" t="str">
        <f t="shared" si="0"/>
        <v>เพิ่มขึ้น</v>
      </c>
      <c r="S55" s="433" t="s">
        <v>648</v>
      </c>
      <c r="T55" s="22"/>
      <c r="U55" s="23"/>
      <c r="V55" s="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row>
    <row r="56" spans="2:240" s="16" customFormat="1" ht="24" customHeight="1" x14ac:dyDescent="0.3">
      <c r="B56" s="397" t="s">
        <v>167</v>
      </c>
      <c r="C56" s="395" t="s">
        <v>152</v>
      </c>
      <c r="D56" s="10">
        <v>1800009007</v>
      </c>
      <c r="E56" s="520" t="s">
        <v>168</v>
      </c>
      <c r="F56" s="601" t="s">
        <v>169</v>
      </c>
      <c r="G56" s="602"/>
      <c r="H56" s="450">
        <v>1</v>
      </c>
      <c r="I56" s="452">
        <v>1765500</v>
      </c>
      <c r="J56" s="495">
        <v>1</v>
      </c>
      <c r="K56" s="506">
        <f>ROUNDUP((1738750*105%),-4)</f>
        <v>1830000</v>
      </c>
      <c r="L56" s="381">
        <f>'สรุปใช้งบ 31กค'!H48</f>
        <v>1765500</v>
      </c>
      <c r="M56" s="307">
        <f>'สรุปใช้งบ 31กค'!L48</f>
        <v>1760000</v>
      </c>
      <c r="N56" s="417">
        <f t="shared" si="1"/>
        <v>0.99688473520249221</v>
      </c>
      <c r="O56" s="56">
        <f t="shared" si="5"/>
        <v>1830000</v>
      </c>
      <c r="P56" s="425">
        <f t="shared" si="2"/>
        <v>64500</v>
      </c>
      <c r="Q56" s="422">
        <f t="shared" si="3"/>
        <v>3.6533559898045853E-2</v>
      </c>
      <c r="R56" s="424" t="str">
        <f t="shared" si="0"/>
        <v>เพิ่มขึ้น</v>
      </c>
      <c r="S56" s="515" t="s">
        <v>642</v>
      </c>
      <c r="T56" s="22"/>
      <c r="U56" s="23"/>
      <c r="V56" s="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row>
    <row r="57" spans="2:240" s="16" customFormat="1" ht="34.049999999999997" customHeight="1" x14ac:dyDescent="0.3">
      <c r="B57" s="393" t="s">
        <v>629</v>
      </c>
      <c r="C57" s="395" t="s">
        <v>152</v>
      </c>
      <c r="D57" s="10">
        <v>1800009032</v>
      </c>
      <c r="E57" s="376" t="s">
        <v>170</v>
      </c>
      <c r="F57" s="670" t="s">
        <v>171</v>
      </c>
      <c r="G57" s="670"/>
      <c r="H57" s="450" t="s">
        <v>20</v>
      </c>
      <c r="I57" s="451">
        <v>0</v>
      </c>
      <c r="J57" s="495">
        <v>10</v>
      </c>
      <c r="K57" s="506">
        <f>ROUNDUP((1594300*105%),-4)/10</f>
        <v>168000</v>
      </c>
      <c r="L57" s="381">
        <v>0</v>
      </c>
      <c r="M57" s="307">
        <v>0</v>
      </c>
      <c r="N57" s="417">
        <f t="shared" si="1"/>
        <v>1</v>
      </c>
      <c r="O57" s="56">
        <f t="shared" si="5"/>
        <v>1680000</v>
      </c>
      <c r="P57" s="425">
        <f t="shared" si="2"/>
        <v>1680000</v>
      </c>
      <c r="Q57" s="422">
        <f t="shared" si="3"/>
        <v>1</v>
      </c>
      <c r="R57" s="424" t="str">
        <f t="shared" si="0"/>
        <v>เพิ่มขึ้น</v>
      </c>
      <c r="S57" s="505" t="s">
        <v>650</v>
      </c>
      <c r="T57" s="22"/>
      <c r="U57" s="23"/>
      <c r="V57" s="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row>
    <row r="58" spans="2:240" s="16" customFormat="1" ht="26.2" customHeight="1" x14ac:dyDescent="0.3">
      <c r="B58" s="393" t="s">
        <v>172</v>
      </c>
      <c r="C58" s="395" t="s">
        <v>152</v>
      </c>
      <c r="D58" s="593">
        <v>1800009041</v>
      </c>
      <c r="E58" s="520" t="s">
        <v>173</v>
      </c>
      <c r="F58" s="618" t="s">
        <v>685</v>
      </c>
      <c r="G58" s="618"/>
      <c r="H58" s="450" t="s">
        <v>20</v>
      </c>
      <c r="I58" s="451">
        <v>0</v>
      </c>
      <c r="J58" s="495">
        <v>10</v>
      </c>
      <c r="K58" s="506">
        <f>ROUNDUP((10165),-3)</f>
        <v>11000</v>
      </c>
      <c r="L58" s="381">
        <v>0</v>
      </c>
      <c r="M58" s="307">
        <v>0</v>
      </c>
      <c r="N58" s="417">
        <f t="shared" si="1"/>
        <v>1</v>
      </c>
      <c r="O58" s="56">
        <f>K58*J58</f>
        <v>110000</v>
      </c>
      <c r="P58" s="425">
        <f t="shared" si="2"/>
        <v>110000</v>
      </c>
      <c r="Q58" s="422">
        <f t="shared" si="3"/>
        <v>1</v>
      </c>
      <c r="R58" s="424" t="str">
        <f t="shared" si="0"/>
        <v>เพิ่มขึ้น</v>
      </c>
      <c r="S58" s="433" t="s">
        <v>649</v>
      </c>
      <c r="T58" s="22"/>
      <c r="U58" s="23"/>
      <c r="V58" s="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row>
    <row r="59" spans="2:240" s="16" customFormat="1" ht="22.5" customHeight="1" x14ac:dyDescent="0.3">
      <c r="B59" s="600"/>
      <c r="C59" s="395" t="s">
        <v>149</v>
      </c>
      <c r="D59" s="595"/>
      <c r="E59" s="520" t="s">
        <v>175</v>
      </c>
      <c r="F59" s="618" t="s">
        <v>176</v>
      </c>
      <c r="G59" s="618"/>
      <c r="H59" s="450" t="s">
        <v>20</v>
      </c>
      <c r="I59" s="451">
        <v>0</v>
      </c>
      <c r="J59" s="495">
        <v>5</v>
      </c>
      <c r="K59" s="506">
        <f>ROUNDUP((13500*107%)*105%,-3)</f>
        <v>16000</v>
      </c>
      <c r="L59" s="381">
        <v>0</v>
      </c>
      <c r="M59" s="307">
        <v>0</v>
      </c>
      <c r="N59" s="417">
        <f t="shared" si="1"/>
        <v>1</v>
      </c>
      <c r="O59" s="56">
        <f t="shared" si="5"/>
        <v>80000</v>
      </c>
      <c r="P59" s="425">
        <f t="shared" si="2"/>
        <v>80000</v>
      </c>
      <c r="Q59" s="422">
        <f t="shared" si="3"/>
        <v>1</v>
      </c>
      <c r="R59" s="424" t="str">
        <f t="shared" si="0"/>
        <v>เพิ่มขึ้น</v>
      </c>
      <c r="S59" s="623" t="s">
        <v>643</v>
      </c>
      <c r="T59" s="22"/>
      <c r="U59" s="23"/>
      <c r="V59" s="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row>
    <row r="60" spans="2:240" s="16" customFormat="1" ht="22.5" customHeight="1" x14ac:dyDescent="0.3">
      <c r="B60" s="600"/>
      <c r="C60" s="395" t="s">
        <v>149</v>
      </c>
      <c r="D60" s="10" t="s">
        <v>177</v>
      </c>
      <c r="E60" s="520" t="s">
        <v>178</v>
      </c>
      <c r="F60" s="618" t="s">
        <v>179</v>
      </c>
      <c r="G60" s="618"/>
      <c r="H60" s="450" t="s">
        <v>20</v>
      </c>
      <c r="I60" s="451">
        <v>0</v>
      </c>
      <c r="J60" s="495">
        <v>7</v>
      </c>
      <c r="K60" s="506">
        <f>ROUNDUP((22200*107%)*105%,-3)</f>
        <v>25000</v>
      </c>
      <c r="L60" s="381">
        <v>0</v>
      </c>
      <c r="M60" s="307">
        <v>0</v>
      </c>
      <c r="N60" s="417">
        <f t="shared" si="1"/>
        <v>1</v>
      </c>
      <c r="O60" s="56">
        <f t="shared" si="5"/>
        <v>175000</v>
      </c>
      <c r="P60" s="425">
        <f t="shared" si="2"/>
        <v>175000</v>
      </c>
      <c r="Q60" s="422">
        <f t="shared" si="3"/>
        <v>1</v>
      </c>
      <c r="R60" s="424" t="str">
        <f t="shared" si="0"/>
        <v>เพิ่มขึ้น</v>
      </c>
      <c r="S60" s="624"/>
      <c r="T60" s="22"/>
      <c r="U60" s="23"/>
      <c r="V60" s="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row>
    <row r="61" spans="2:240" s="16" customFormat="1" ht="22.5" customHeight="1" x14ac:dyDescent="0.3">
      <c r="B61" s="387"/>
      <c r="C61" s="395" t="s">
        <v>180</v>
      </c>
      <c r="D61" s="10">
        <v>1800016041</v>
      </c>
      <c r="E61" s="376" t="s">
        <v>181</v>
      </c>
      <c r="F61" s="665" t="str">
        <f>[23]แบบสำรวจอุปกรณ์!$D$24</f>
        <v>หมวกกันกระสุน (fast helmet)</v>
      </c>
      <c r="G61" s="666"/>
      <c r="H61" s="450" t="s">
        <v>20</v>
      </c>
      <c r="I61" s="451">
        <v>0</v>
      </c>
      <c r="J61" s="451">
        <v>0</v>
      </c>
      <c r="K61" s="496">
        <f>[23]แบบสำรวจอุปกรณ์!$G$24</f>
        <v>10000</v>
      </c>
      <c r="L61" s="381">
        <v>0</v>
      </c>
      <c r="M61" s="307">
        <v>0</v>
      </c>
      <c r="N61" s="417">
        <f t="shared" si="1"/>
        <v>1</v>
      </c>
      <c r="O61" s="56">
        <f t="shared" si="5"/>
        <v>0</v>
      </c>
      <c r="P61" s="307">
        <f t="shared" si="2"/>
        <v>0</v>
      </c>
      <c r="Q61" s="535">
        <f t="shared" si="2"/>
        <v>0</v>
      </c>
      <c r="R61" s="49" t="str">
        <f t="shared" si="0"/>
        <v>--</v>
      </c>
      <c r="S61" s="534"/>
      <c r="T61" s="22"/>
      <c r="U61" s="23"/>
      <c r="V61" s="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row>
    <row r="62" spans="2:240" s="16" customFormat="1" ht="27.5" customHeight="1" x14ac:dyDescent="0.3">
      <c r="B62" s="600"/>
      <c r="C62" s="395" t="s">
        <v>149</v>
      </c>
      <c r="D62" s="10">
        <v>1800016041</v>
      </c>
      <c r="E62" s="520" t="s">
        <v>182</v>
      </c>
      <c r="F62" s="654" t="s">
        <v>183</v>
      </c>
      <c r="G62" s="654"/>
      <c r="H62" s="450" t="s">
        <v>20</v>
      </c>
      <c r="I62" s="451">
        <v>0</v>
      </c>
      <c r="J62" s="495">
        <v>7</v>
      </c>
      <c r="K62" s="506">
        <f>2156000/7</f>
        <v>308000</v>
      </c>
      <c r="L62" s="381">
        <v>0</v>
      </c>
      <c r="M62" s="307">
        <v>0</v>
      </c>
      <c r="N62" s="417">
        <f t="shared" si="1"/>
        <v>1</v>
      </c>
      <c r="O62" s="56">
        <f t="shared" si="5"/>
        <v>2156000</v>
      </c>
      <c r="P62" s="425">
        <f t="shared" si="2"/>
        <v>2156000</v>
      </c>
      <c r="Q62" s="422">
        <f t="shared" si="3"/>
        <v>1</v>
      </c>
      <c r="R62" s="424" t="str">
        <f t="shared" si="0"/>
        <v>เพิ่มขึ้น</v>
      </c>
      <c r="S62" s="433" t="s">
        <v>644</v>
      </c>
      <c r="T62" s="22"/>
      <c r="U62" s="23"/>
      <c r="V62" s="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row>
    <row r="63" spans="2:240" s="16" customFormat="1" ht="29.55" customHeight="1" x14ac:dyDescent="0.3">
      <c r="B63" s="600"/>
      <c r="C63" s="395" t="s">
        <v>149</v>
      </c>
      <c r="D63" s="10" t="s">
        <v>184</v>
      </c>
      <c r="E63" s="520" t="s">
        <v>185</v>
      </c>
      <c r="F63" s="667" t="s">
        <v>186</v>
      </c>
      <c r="G63" s="667"/>
      <c r="H63" s="450" t="s">
        <v>20</v>
      </c>
      <c r="I63" s="451">
        <v>0</v>
      </c>
      <c r="J63" s="495">
        <v>4</v>
      </c>
      <c r="K63" s="506">
        <f>38000/4</f>
        <v>9500</v>
      </c>
      <c r="L63" s="381">
        <v>0</v>
      </c>
      <c r="M63" s="307">
        <v>0</v>
      </c>
      <c r="N63" s="417">
        <f t="shared" si="1"/>
        <v>1</v>
      </c>
      <c r="O63" s="56">
        <f t="shared" si="5"/>
        <v>38000</v>
      </c>
      <c r="P63" s="425">
        <f t="shared" si="2"/>
        <v>38000</v>
      </c>
      <c r="Q63" s="422">
        <f t="shared" si="3"/>
        <v>1</v>
      </c>
      <c r="R63" s="424" t="str">
        <f t="shared" si="0"/>
        <v>เพิ่มขึ้น</v>
      </c>
      <c r="S63" s="433" t="s">
        <v>632</v>
      </c>
      <c r="T63" s="22"/>
      <c r="U63" s="23"/>
      <c r="V63" s="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row>
    <row r="64" spans="2:240" s="16" customFormat="1" ht="31.5" customHeight="1" x14ac:dyDescent="0.3">
      <c r="B64" s="600"/>
      <c r="C64" s="395" t="s">
        <v>149</v>
      </c>
      <c r="D64" s="10">
        <v>1800011014</v>
      </c>
      <c r="E64" s="520" t="s">
        <v>187</v>
      </c>
      <c r="F64" s="598" t="s">
        <v>188</v>
      </c>
      <c r="G64" s="599"/>
      <c r="H64" s="450" t="s">
        <v>20</v>
      </c>
      <c r="I64" s="451">
        <v>0</v>
      </c>
      <c r="J64" s="495">
        <v>4</v>
      </c>
      <c r="K64" s="506">
        <v>60000</v>
      </c>
      <c r="L64" s="381">
        <v>0</v>
      </c>
      <c r="M64" s="307">
        <v>0</v>
      </c>
      <c r="N64" s="417">
        <f t="shared" si="1"/>
        <v>1</v>
      </c>
      <c r="O64" s="56">
        <f t="shared" si="5"/>
        <v>240000</v>
      </c>
      <c r="P64" s="425">
        <f t="shared" si="2"/>
        <v>240000</v>
      </c>
      <c r="Q64" s="422">
        <f t="shared" si="3"/>
        <v>1</v>
      </c>
      <c r="R64" s="424" t="str">
        <f t="shared" si="0"/>
        <v>เพิ่มขึ้น</v>
      </c>
      <c r="S64" s="433" t="s">
        <v>675</v>
      </c>
      <c r="T64" s="22"/>
      <c r="U64" s="23"/>
      <c r="V64" s="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row>
    <row r="65" spans="2:240" s="16" customFormat="1" ht="22.5" customHeight="1" x14ac:dyDescent="0.3">
      <c r="B65" s="600"/>
      <c r="C65" s="395" t="s">
        <v>180</v>
      </c>
      <c r="D65" s="10" t="s">
        <v>189</v>
      </c>
      <c r="E65" s="520" t="s">
        <v>190</v>
      </c>
      <c r="F65" s="598" t="s">
        <v>191</v>
      </c>
      <c r="G65" s="599"/>
      <c r="H65" s="453">
        <v>1</v>
      </c>
      <c r="I65" s="454">
        <f>'สรุปใช้งบ 31กค'!H36</f>
        <v>38000</v>
      </c>
      <c r="J65" s="497">
        <v>30</v>
      </c>
      <c r="K65" s="516">
        <f>'[24]ราคาครุภัณฑ์ IT ปี 70'!$E$7</f>
        <v>62400</v>
      </c>
      <c r="L65" s="381">
        <f>'สรุปใช้งบ 31กค'!H36</f>
        <v>38000</v>
      </c>
      <c r="M65" s="307">
        <f>L65</f>
        <v>38000</v>
      </c>
      <c r="N65" s="417">
        <f t="shared" si="1"/>
        <v>1</v>
      </c>
      <c r="O65" s="56">
        <f t="shared" si="5"/>
        <v>1872000</v>
      </c>
      <c r="P65" s="425">
        <f t="shared" si="2"/>
        <v>1834000</v>
      </c>
      <c r="Q65" s="422">
        <f t="shared" si="3"/>
        <v>48.263157894736842</v>
      </c>
      <c r="R65" s="424" t="str">
        <f t="shared" si="0"/>
        <v>เพิ่มขึ้น</v>
      </c>
      <c r="S65" s="439" t="s">
        <v>676</v>
      </c>
      <c r="T65" s="24"/>
      <c r="U65" s="23"/>
      <c r="V65" s="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row>
    <row r="66" spans="2:240" s="16" customFormat="1" ht="22.5" customHeight="1" x14ac:dyDescent="0.3">
      <c r="B66" s="430" t="s">
        <v>192</v>
      </c>
      <c r="C66" s="395"/>
      <c r="D66" s="10" t="s">
        <v>193</v>
      </c>
      <c r="E66" s="520" t="s">
        <v>194</v>
      </c>
      <c r="F66" s="662" t="s">
        <v>195</v>
      </c>
      <c r="G66" s="663"/>
      <c r="H66" s="450" t="s">
        <v>20</v>
      </c>
      <c r="I66" s="451">
        <v>0</v>
      </c>
      <c r="J66" s="495">
        <f>[23]แบบสำรวจอุปกรณ์!$AB$13</f>
        <v>1</v>
      </c>
      <c r="K66" s="506">
        <v>160700</v>
      </c>
      <c r="L66" s="381">
        <v>0</v>
      </c>
      <c r="M66" s="307">
        <v>0</v>
      </c>
      <c r="N66" s="417">
        <f t="shared" si="1"/>
        <v>1</v>
      </c>
      <c r="O66" s="56">
        <f t="shared" si="5"/>
        <v>160700</v>
      </c>
      <c r="P66" s="425">
        <f t="shared" si="2"/>
        <v>160700</v>
      </c>
      <c r="Q66" s="422">
        <f t="shared" si="3"/>
        <v>1</v>
      </c>
      <c r="R66" s="424" t="str">
        <f t="shared" si="0"/>
        <v>เพิ่มขึ้น</v>
      </c>
      <c r="S66" s="439" t="s">
        <v>196</v>
      </c>
      <c r="T66" s="22"/>
      <c r="U66" s="23"/>
      <c r="V66" s="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row>
    <row r="67" spans="2:240" s="16" customFormat="1" ht="22.5" customHeight="1" x14ac:dyDescent="0.3">
      <c r="B67" s="46" t="s">
        <v>197</v>
      </c>
      <c r="C67" s="395" t="s">
        <v>180</v>
      </c>
      <c r="D67" s="10">
        <v>1800016035</v>
      </c>
      <c r="E67" s="547" t="s">
        <v>198</v>
      </c>
      <c r="F67" s="598" t="s">
        <v>686</v>
      </c>
      <c r="G67" s="599"/>
      <c r="H67" s="450" t="s">
        <v>20</v>
      </c>
      <c r="I67" s="451">
        <v>0</v>
      </c>
      <c r="J67" s="495">
        <v>5</v>
      </c>
      <c r="K67" s="506">
        <f>ROUNDUP((363800/5)*105%,-4)</f>
        <v>80000</v>
      </c>
      <c r="L67" s="548">
        <v>0</v>
      </c>
      <c r="M67" s="549">
        <v>0</v>
      </c>
      <c r="N67" s="550">
        <f t="shared" si="1"/>
        <v>1</v>
      </c>
      <c r="O67" s="551">
        <f t="shared" si="5"/>
        <v>400000</v>
      </c>
      <c r="P67" s="425">
        <f t="shared" si="2"/>
        <v>400000</v>
      </c>
      <c r="Q67" s="552">
        <f t="shared" si="3"/>
        <v>1</v>
      </c>
      <c r="R67" s="424" t="str">
        <f t="shared" si="0"/>
        <v>เพิ่มขึ้น</v>
      </c>
      <c r="S67" s="553" t="s">
        <v>671</v>
      </c>
      <c r="T67" s="554"/>
      <c r="U67" s="555"/>
      <c r="V67" s="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c r="GM67" s="15"/>
      <c r="GN67" s="15"/>
      <c r="GO67" s="15"/>
      <c r="GP67" s="15"/>
      <c r="GQ67" s="15"/>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row>
    <row r="68" spans="2:240" s="16" customFormat="1" ht="22.5" customHeight="1" x14ac:dyDescent="0.3">
      <c r="B68" s="46"/>
      <c r="C68" s="395" t="s">
        <v>180</v>
      </c>
      <c r="D68" s="10">
        <v>1800007024</v>
      </c>
      <c r="E68" s="520" t="s">
        <v>201</v>
      </c>
      <c r="F68" s="662" t="s">
        <v>202</v>
      </c>
      <c r="G68" s="664"/>
      <c r="H68" s="450" t="s">
        <v>20</v>
      </c>
      <c r="I68" s="451">
        <v>0</v>
      </c>
      <c r="J68" s="495">
        <f>[23]แบบสำรวจอุปกรณ์!$AB$19</f>
        <v>6</v>
      </c>
      <c r="K68" s="506">
        <v>13333.333333333334</v>
      </c>
      <c r="L68" s="556">
        <v>0</v>
      </c>
      <c r="M68" s="557">
        <v>0</v>
      </c>
      <c r="N68" s="558">
        <f t="shared" si="1"/>
        <v>1</v>
      </c>
      <c r="O68" s="56">
        <f t="shared" si="5"/>
        <v>80000</v>
      </c>
      <c r="P68" s="425">
        <f t="shared" si="2"/>
        <v>80000</v>
      </c>
      <c r="Q68" s="559">
        <f t="shared" si="3"/>
        <v>1</v>
      </c>
      <c r="R68" s="424" t="str">
        <f t="shared" si="0"/>
        <v>เพิ่มขึ้น</v>
      </c>
      <c r="S68" s="560" t="s">
        <v>203</v>
      </c>
      <c r="T68" s="561"/>
      <c r="U68" s="562"/>
      <c r="V68" s="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row>
    <row r="69" spans="2:240" s="16" customFormat="1" ht="39" customHeight="1" x14ac:dyDescent="0.3">
      <c r="B69" s="387"/>
      <c r="C69" s="395" t="s">
        <v>204</v>
      </c>
      <c r="D69" s="382" t="s">
        <v>205</v>
      </c>
      <c r="E69" s="504" t="s">
        <v>206</v>
      </c>
      <c r="F69" s="605" t="s">
        <v>207</v>
      </c>
      <c r="G69" s="606"/>
      <c r="H69" s="455">
        <v>1</v>
      </c>
      <c r="I69" s="456">
        <f>'สรุปใช้งบ 31กค'!L37</f>
        <v>8000</v>
      </c>
      <c r="J69" s="455" t="s">
        <v>20</v>
      </c>
      <c r="K69" s="457">
        <v>0</v>
      </c>
      <c r="L69" s="390">
        <f>I69</f>
        <v>8000</v>
      </c>
      <c r="M69" s="384">
        <v>8000</v>
      </c>
      <c r="N69" s="468">
        <f t="shared" si="1"/>
        <v>1</v>
      </c>
      <c r="O69" s="385">
        <v>0</v>
      </c>
      <c r="P69" s="388">
        <v>0</v>
      </c>
      <c r="Q69" s="468">
        <f t="shared" si="3"/>
        <v>-1</v>
      </c>
      <c r="R69" s="49" t="str">
        <f t="shared" ref="R69:R71" si="7">IF(O69&gt;L69,"เพิ่มขึ้น",IF(O69&lt;L69,"ลดลง",IF(O69=L69,"--")))</f>
        <v>ลดลง</v>
      </c>
      <c r="S69" s="517" t="str">
        <f>'สรุปใช้งบ 31กค'!S37</f>
        <v>1.รอง ผอ. อนุมัติ PR แล้ว เมื่อ 2 เม.ย. 69
2.คาดว่าจะได้ PC Q4
3.EPR ใหม่ งบจออยู่ที่ส่วนงาน (PC NB ฝทส.จัดหา)</v>
      </c>
      <c r="T69" s="391" t="str">
        <f t="shared" ref="T69:U80" si="8">J69</f>
        <v xml:space="preserve"> --</v>
      </c>
      <c r="U69" s="392">
        <f t="shared" si="8"/>
        <v>0</v>
      </c>
      <c r="V69" s="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c r="GM69" s="15"/>
      <c r="GN69" s="15"/>
      <c r="GO69" s="15"/>
      <c r="GP69" s="15"/>
      <c r="GQ69" s="15"/>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row>
    <row r="70" spans="2:240" s="16" customFormat="1" ht="34.049999999999997" customHeight="1" x14ac:dyDescent="0.3">
      <c r="B70" s="387"/>
      <c r="C70" s="395" t="s">
        <v>204</v>
      </c>
      <c r="D70" s="382" t="s">
        <v>382</v>
      </c>
      <c r="E70" s="504" t="s">
        <v>208</v>
      </c>
      <c r="F70" s="660" t="s">
        <v>209</v>
      </c>
      <c r="G70" s="661"/>
      <c r="H70" s="458">
        <v>21</v>
      </c>
      <c r="I70" s="459">
        <f>L70/H70</f>
        <v>32285.714285714286</v>
      </c>
      <c r="J70" s="455" t="s">
        <v>20</v>
      </c>
      <c r="K70" s="457">
        <v>0</v>
      </c>
      <c r="L70" s="383">
        <f>'สรุปใช้งบ 31กค'!H38</f>
        <v>678000</v>
      </c>
      <c r="M70" s="386">
        <f>'สรุปใช้งบ 31กค'!L38</f>
        <v>0</v>
      </c>
      <c r="N70" s="468">
        <f t="shared" ref="N70:N81" si="9">IFERROR(M70/L70,1)</f>
        <v>0</v>
      </c>
      <c r="O70" s="385">
        <v>0</v>
      </c>
      <c r="P70" s="388">
        <v>0</v>
      </c>
      <c r="Q70" s="468">
        <f t="shared" si="3"/>
        <v>-1</v>
      </c>
      <c r="R70" s="49" t="str">
        <f t="shared" si="7"/>
        <v>ลดลง</v>
      </c>
      <c r="S70" s="517" t="str">
        <f>'สรุปใช้งบ 31กค'!S38</f>
        <v>1.กำลังทำ PR
2.คาดว่าเซ็นสัญญา เดือน ก.ย. 69
3.มีบริษัทน้อย จึงใช้วิธีคัดเลือก</v>
      </c>
      <c r="T70" s="391" t="str">
        <f t="shared" si="8"/>
        <v xml:space="preserve"> --</v>
      </c>
      <c r="U70" s="392">
        <f t="shared" si="8"/>
        <v>0</v>
      </c>
      <c r="V70" s="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15"/>
      <c r="HQ70" s="15"/>
      <c r="HR70" s="15"/>
      <c r="HS70" s="15"/>
      <c r="HT70" s="15"/>
      <c r="HU70" s="15"/>
      <c r="HV70" s="15"/>
      <c r="HW70" s="15"/>
      <c r="HX70" s="15"/>
      <c r="HY70" s="15"/>
      <c r="HZ70" s="15"/>
      <c r="IA70" s="15"/>
      <c r="IB70" s="15"/>
      <c r="IC70" s="15"/>
      <c r="ID70" s="15"/>
      <c r="IE70" s="15"/>
      <c r="IF70" s="15"/>
    </row>
    <row r="71" spans="2:240" s="16" customFormat="1" ht="22.5" customHeight="1" x14ac:dyDescent="0.3">
      <c r="B71" s="600"/>
      <c r="C71" s="395" t="s">
        <v>204</v>
      </c>
      <c r="D71" s="619" t="s">
        <v>387</v>
      </c>
      <c r="E71" s="504" t="s">
        <v>210</v>
      </c>
      <c r="F71" s="660" t="s">
        <v>211</v>
      </c>
      <c r="G71" s="661"/>
      <c r="H71" s="458">
        <v>3</v>
      </c>
      <c r="I71" s="609">
        <f>'สรุปใช้งบ 31กค'!H39</f>
        <v>23000</v>
      </c>
      <c r="J71" s="455" t="s">
        <v>20</v>
      </c>
      <c r="K71" s="457">
        <v>0</v>
      </c>
      <c r="L71" s="611">
        <f>I71</f>
        <v>23000</v>
      </c>
      <c r="M71" s="615">
        <f>'สรุปใช้งบ 31กค'!M39</f>
        <v>0</v>
      </c>
      <c r="N71" s="621">
        <f t="shared" si="9"/>
        <v>0</v>
      </c>
      <c r="O71" s="385">
        <v>0</v>
      </c>
      <c r="P71" s="388">
        <v>0</v>
      </c>
      <c r="Q71" s="468">
        <f t="shared" ref="Q71:Q81" si="10">IFERROR(O71/L71-1,1)</f>
        <v>-1</v>
      </c>
      <c r="R71" s="613" t="str">
        <f t="shared" si="7"/>
        <v>ลดลง</v>
      </c>
      <c r="S71" s="607" t="str">
        <f>'สรุปใช้งบ 31กค'!S39</f>
        <v>1.ได้แบบมาพร้อมราคา ทั้งสองอย่าง 
2.รอหารือและเลือกแบบที่ต้องการ
3.คาดว่าได้ของ ปลายเดือน มิ.ย.- ต้น ก.ค. 69</v>
      </c>
      <c r="T71" s="391" t="str">
        <f t="shared" si="8"/>
        <v xml:space="preserve"> --</v>
      </c>
      <c r="U71" s="392">
        <f t="shared" si="8"/>
        <v>0</v>
      </c>
      <c r="V71" s="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15"/>
      <c r="HQ71" s="15"/>
      <c r="HR71" s="15"/>
      <c r="HS71" s="15"/>
      <c r="HT71" s="15"/>
      <c r="HU71" s="15"/>
      <c r="HV71" s="15"/>
      <c r="HW71" s="15"/>
      <c r="HX71" s="15"/>
      <c r="HY71" s="15"/>
      <c r="HZ71" s="15"/>
      <c r="IA71" s="15"/>
      <c r="IB71" s="15"/>
      <c r="IC71" s="15"/>
      <c r="ID71" s="15"/>
      <c r="IE71" s="15"/>
      <c r="IF71" s="15"/>
    </row>
    <row r="72" spans="2:240" s="16" customFormat="1" ht="22.5" customHeight="1" x14ac:dyDescent="0.3">
      <c r="B72" s="600"/>
      <c r="C72" s="395" t="s">
        <v>204</v>
      </c>
      <c r="D72" s="620"/>
      <c r="E72" s="504" t="s">
        <v>212</v>
      </c>
      <c r="F72" s="605" t="s">
        <v>213</v>
      </c>
      <c r="G72" s="606"/>
      <c r="H72" s="458">
        <v>1</v>
      </c>
      <c r="I72" s="610"/>
      <c r="J72" s="455" t="s">
        <v>20</v>
      </c>
      <c r="K72" s="457">
        <v>0</v>
      </c>
      <c r="L72" s="612"/>
      <c r="M72" s="616"/>
      <c r="N72" s="622"/>
      <c r="O72" s="385">
        <v>0</v>
      </c>
      <c r="P72" s="388">
        <v>0</v>
      </c>
      <c r="Q72" s="468">
        <f t="shared" si="10"/>
        <v>1</v>
      </c>
      <c r="R72" s="614"/>
      <c r="S72" s="608"/>
      <c r="T72" s="391" t="str">
        <f t="shared" si="8"/>
        <v xml:space="preserve"> --</v>
      </c>
      <c r="U72" s="392">
        <f t="shared" si="8"/>
        <v>0</v>
      </c>
      <c r="V72" s="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c r="GM72" s="15"/>
      <c r="GN72" s="15"/>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15"/>
      <c r="HQ72" s="15"/>
      <c r="HR72" s="15"/>
      <c r="HS72" s="15"/>
      <c r="HT72" s="15"/>
      <c r="HU72" s="15"/>
      <c r="HV72" s="15"/>
      <c r="HW72" s="15"/>
      <c r="HX72" s="15"/>
      <c r="HY72" s="15"/>
      <c r="HZ72" s="15"/>
      <c r="IA72" s="15"/>
      <c r="IB72" s="15"/>
      <c r="IC72" s="15"/>
      <c r="ID72" s="15"/>
      <c r="IE72" s="15"/>
      <c r="IF72" s="15"/>
    </row>
    <row r="73" spans="2:240" s="16" customFormat="1" ht="25.05" customHeight="1" x14ac:dyDescent="0.3">
      <c r="B73" s="600"/>
      <c r="C73" s="395" t="s">
        <v>204</v>
      </c>
      <c r="D73" s="382" t="s">
        <v>393</v>
      </c>
      <c r="E73" s="504" t="s">
        <v>214</v>
      </c>
      <c r="F73" s="660" t="s">
        <v>215</v>
      </c>
      <c r="G73" s="661"/>
      <c r="H73" s="458">
        <v>1</v>
      </c>
      <c r="I73" s="459">
        <f>'สรุปใช้งบ 31กค'!H40</f>
        <v>11000</v>
      </c>
      <c r="J73" s="455" t="s">
        <v>20</v>
      </c>
      <c r="K73" s="457">
        <v>0</v>
      </c>
      <c r="L73" s="379">
        <f>I73</f>
        <v>11000</v>
      </c>
      <c r="M73" s="384">
        <f>'สรุปใช้งบ 31กค'!L40</f>
        <v>0</v>
      </c>
      <c r="N73" s="468">
        <f t="shared" si="9"/>
        <v>0</v>
      </c>
      <c r="O73" s="385">
        <v>0</v>
      </c>
      <c r="P73" s="388">
        <v>0</v>
      </c>
      <c r="Q73" s="468">
        <f t="shared" si="10"/>
        <v>-1</v>
      </c>
      <c r="R73" s="49" t="str">
        <f t="shared" ref="R73:R81" si="11">IF(O73&gt;L73,"เพิ่มขึ้น",IF(O73&lt;L73,"ลดลง",IF(O73=L73,"--")))</f>
        <v>ลดลง</v>
      </c>
      <c r="S73" s="517" t="str">
        <f>'สรุปใช้งบ 31กค'!S40</f>
        <v>อยู่ระหว่างขอใบเสนอราคา 3 ราย 
เพื่อส่งให้ ฝทส.จัดหา</v>
      </c>
      <c r="T73" s="391" t="str">
        <f t="shared" si="8"/>
        <v xml:space="preserve"> --</v>
      </c>
      <c r="U73" s="392">
        <f t="shared" si="8"/>
        <v>0</v>
      </c>
      <c r="V73" s="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row>
    <row r="74" spans="2:240" s="16" customFormat="1" ht="25.05" customHeight="1" x14ac:dyDescent="0.3">
      <c r="B74" s="600"/>
      <c r="C74" s="395" t="s">
        <v>204</v>
      </c>
      <c r="D74" s="382" t="s">
        <v>398</v>
      </c>
      <c r="E74" s="504" t="s">
        <v>216</v>
      </c>
      <c r="F74" s="617" t="s">
        <v>217</v>
      </c>
      <c r="G74" s="617"/>
      <c r="H74" s="458">
        <v>1</v>
      </c>
      <c r="I74" s="459">
        <f>'สรุปใช้งบ 31กค'!H41</f>
        <v>112000</v>
      </c>
      <c r="J74" s="455" t="s">
        <v>20</v>
      </c>
      <c r="K74" s="457">
        <v>0</v>
      </c>
      <c r="L74" s="383">
        <f>I74</f>
        <v>112000</v>
      </c>
      <c r="M74" s="383">
        <f>'สรุปใช้งบ 31กค'!L41</f>
        <v>105000</v>
      </c>
      <c r="N74" s="468">
        <f t="shared" si="9"/>
        <v>0.9375</v>
      </c>
      <c r="O74" s="385">
        <v>0</v>
      </c>
      <c r="P74" s="388">
        <v>0</v>
      </c>
      <c r="Q74" s="468">
        <f t="shared" si="10"/>
        <v>-1</v>
      </c>
      <c r="R74" s="49" t="str">
        <f t="shared" si="11"/>
        <v>ลดลง</v>
      </c>
      <c r="S74" s="517" t="str">
        <f>'สรุปใช้งบ 31กค'!S41</f>
        <v>1.รอง ผอ.อนุมัติ PR แล้ว เมื่อ 6 มิ.ย. 69
2.คาดว่าได้รับของ ปลายเดือน มิ.ย.</v>
      </c>
      <c r="T74" s="391" t="str">
        <f t="shared" si="8"/>
        <v xml:space="preserve"> --</v>
      </c>
      <c r="U74" s="392">
        <f t="shared" si="8"/>
        <v>0</v>
      </c>
      <c r="V74" s="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GT74" s="15"/>
      <c r="GU74" s="15"/>
      <c r="GV74" s="15"/>
      <c r="GW74" s="15"/>
      <c r="GX74" s="15"/>
      <c r="GY74" s="15"/>
      <c r="GZ74" s="15"/>
      <c r="HA74" s="15"/>
      <c r="HB74" s="15"/>
      <c r="HC74" s="15"/>
      <c r="HD74" s="15"/>
      <c r="HE74" s="15"/>
      <c r="HF74" s="15"/>
      <c r="HG74" s="15"/>
      <c r="HH74" s="15"/>
      <c r="HI74" s="15"/>
      <c r="HJ74" s="15"/>
      <c r="HK74" s="15"/>
      <c r="HL74" s="15"/>
      <c r="HM74" s="15"/>
      <c r="HN74" s="15"/>
      <c r="HO74" s="15"/>
      <c r="HP74" s="15"/>
      <c r="HQ74" s="15"/>
      <c r="HR74" s="15"/>
      <c r="HS74" s="15"/>
      <c r="HT74" s="15"/>
      <c r="HU74" s="15"/>
      <c r="HV74" s="15"/>
      <c r="HW74" s="15"/>
      <c r="HX74" s="15"/>
      <c r="HY74" s="15"/>
      <c r="HZ74" s="15"/>
      <c r="IA74" s="15"/>
      <c r="IB74" s="15"/>
      <c r="IC74" s="15"/>
      <c r="ID74" s="15"/>
      <c r="IE74" s="15"/>
      <c r="IF74" s="15"/>
    </row>
    <row r="75" spans="2:240" s="16" customFormat="1" ht="25.05" customHeight="1" x14ac:dyDescent="0.3">
      <c r="B75" s="600"/>
      <c r="C75" s="395" t="s">
        <v>204</v>
      </c>
      <c r="D75" s="382" t="s">
        <v>402</v>
      </c>
      <c r="E75" s="504" t="s">
        <v>218</v>
      </c>
      <c r="F75" s="617" t="s">
        <v>219</v>
      </c>
      <c r="G75" s="617"/>
      <c r="H75" s="455">
        <v>1</v>
      </c>
      <c r="I75" s="460">
        <f>L75</f>
        <v>310000</v>
      </c>
      <c r="J75" s="455" t="s">
        <v>20</v>
      </c>
      <c r="K75" s="457">
        <v>0</v>
      </c>
      <c r="L75" s="379">
        <f>'สรุปใช้งบ 31กค'!H42</f>
        <v>310000</v>
      </c>
      <c r="M75" s="42">
        <f>'สรุปใช้งบ 31กค'!L42</f>
        <v>256800</v>
      </c>
      <c r="N75" s="468">
        <f t="shared" si="9"/>
        <v>0.82838709677419353</v>
      </c>
      <c r="O75" s="385">
        <v>0</v>
      </c>
      <c r="P75" s="388">
        <v>0</v>
      </c>
      <c r="Q75" s="468">
        <f t="shared" si="10"/>
        <v>-1</v>
      </c>
      <c r="R75" s="49" t="str">
        <f t="shared" si="11"/>
        <v>ลดลง</v>
      </c>
      <c r="S75" s="518" t="str">
        <f>'สรุปใช้งบ 31กค'!S42</f>
        <v xml:space="preserve">1.รอง ผอ.อนุมัติ PR แล้ว เมื่อ 27 ก.ค. 69
2.คาดว่าเซ็นสัญญาไม่เกิน เดือน ส.ค. 69 </v>
      </c>
      <c r="T75" s="391" t="str">
        <f t="shared" si="8"/>
        <v xml:space="preserve"> --</v>
      </c>
      <c r="U75" s="392">
        <f t="shared" si="8"/>
        <v>0</v>
      </c>
      <c r="V75" s="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c r="HV75" s="15"/>
      <c r="HW75" s="15"/>
      <c r="HX75" s="15"/>
      <c r="HY75" s="15"/>
      <c r="HZ75" s="15"/>
      <c r="IA75" s="15"/>
      <c r="IB75" s="15"/>
      <c r="IC75" s="15"/>
      <c r="ID75" s="15"/>
      <c r="IE75" s="15"/>
      <c r="IF75" s="15"/>
    </row>
    <row r="76" spans="2:240" s="16" customFormat="1" ht="25.05" customHeight="1" x14ac:dyDescent="0.3">
      <c r="B76" s="600"/>
      <c r="C76" s="395" t="s">
        <v>204</v>
      </c>
      <c r="D76" s="382" t="s">
        <v>405</v>
      </c>
      <c r="E76" s="504" t="s">
        <v>220</v>
      </c>
      <c r="F76" s="617" t="s">
        <v>221</v>
      </c>
      <c r="G76" s="617"/>
      <c r="H76" s="455">
        <v>7</v>
      </c>
      <c r="I76" s="460">
        <f t="shared" ref="I76:I77" si="12">L76</f>
        <v>56000</v>
      </c>
      <c r="J76" s="455" t="s">
        <v>20</v>
      </c>
      <c r="K76" s="457">
        <v>0</v>
      </c>
      <c r="L76" s="379">
        <f>'สรุปใช้งบ 31กค'!H43</f>
        <v>56000</v>
      </c>
      <c r="M76" s="42">
        <f>'สรุปใช้งบ 31กค'!L43</f>
        <v>48685</v>
      </c>
      <c r="N76" s="468">
        <f t="shared" si="9"/>
        <v>0.86937500000000001</v>
      </c>
      <c r="O76" s="385">
        <v>0</v>
      </c>
      <c r="P76" s="388">
        <v>0</v>
      </c>
      <c r="Q76" s="468">
        <f t="shared" si="10"/>
        <v>-1</v>
      </c>
      <c r="R76" s="49" t="str">
        <f t="shared" si="11"/>
        <v>ลดลง</v>
      </c>
      <c r="S76" s="519" t="str">
        <f>'สรุปใช้งบ 31กค'!S42</f>
        <v xml:space="preserve">1.รอง ผอ.อนุมัติ PR แล้ว เมื่อ 27 ก.ค. 69
2.คาดว่าเซ็นสัญญาไม่เกิน เดือน ส.ค. 69 </v>
      </c>
      <c r="T76" s="391" t="str">
        <f t="shared" si="8"/>
        <v xml:space="preserve"> --</v>
      </c>
      <c r="U76" s="392">
        <f t="shared" si="8"/>
        <v>0</v>
      </c>
      <c r="V76" s="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c r="GO76" s="15"/>
      <c r="GP76" s="15"/>
      <c r="GQ76" s="15"/>
      <c r="GR76" s="15"/>
      <c r="GS76" s="15"/>
      <c r="GT76" s="15"/>
      <c r="GU76" s="15"/>
      <c r="GV76" s="15"/>
      <c r="GW76" s="15"/>
      <c r="GX76" s="15"/>
      <c r="GY76" s="15"/>
      <c r="GZ76" s="15"/>
      <c r="HA76" s="15"/>
      <c r="HB76" s="15"/>
      <c r="HC76" s="15"/>
      <c r="HD76" s="15"/>
      <c r="HE76" s="15"/>
      <c r="HF76" s="15"/>
      <c r="HG76" s="15"/>
      <c r="HH76" s="15"/>
      <c r="HI76" s="15"/>
      <c r="HJ76" s="15"/>
      <c r="HK76" s="15"/>
      <c r="HL76" s="15"/>
      <c r="HM76" s="15"/>
      <c r="HN76" s="15"/>
      <c r="HO76" s="15"/>
      <c r="HP76" s="15"/>
      <c r="HQ76" s="15"/>
      <c r="HR76" s="15"/>
      <c r="HS76" s="15"/>
      <c r="HT76" s="15"/>
      <c r="HU76" s="15"/>
      <c r="HV76" s="15"/>
      <c r="HW76" s="15"/>
      <c r="HX76" s="15"/>
      <c r="HY76" s="15"/>
      <c r="HZ76" s="15"/>
      <c r="IA76" s="15"/>
      <c r="IB76" s="15"/>
      <c r="IC76" s="15"/>
      <c r="ID76" s="15"/>
      <c r="IE76" s="15"/>
      <c r="IF76" s="15"/>
    </row>
    <row r="77" spans="2:240" s="16" customFormat="1" ht="36.700000000000003" customHeight="1" x14ac:dyDescent="0.3">
      <c r="B77" s="600"/>
      <c r="C77" s="395" t="s">
        <v>204</v>
      </c>
      <c r="D77" s="382" t="s">
        <v>416</v>
      </c>
      <c r="E77" s="504" t="s">
        <v>222</v>
      </c>
      <c r="F77" s="605" t="s">
        <v>223</v>
      </c>
      <c r="G77" s="606"/>
      <c r="H77" s="455">
        <v>8</v>
      </c>
      <c r="I77" s="460">
        <f t="shared" si="12"/>
        <v>1753800</v>
      </c>
      <c r="J77" s="455" t="s">
        <v>20</v>
      </c>
      <c r="K77" s="457">
        <v>0</v>
      </c>
      <c r="L77" s="379">
        <f>'สรุปใช้งบ 31กค'!H46</f>
        <v>1753800</v>
      </c>
      <c r="M77" s="42">
        <v>1430000</v>
      </c>
      <c r="N77" s="468">
        <f t="shared" si="9"/>
        <v>0.81537233435967615</v>
      </c>
      <c r="O77" s="385">
        <v>0</v>
      </c>
      <c r="P77" s="388">
        <v>0</v>
      </c>
      <c r="Q77" s="468">
        <f t="shared" si="10"/>
        <v>-1</v>
      </c>
      <c r="R77" s="49" t="str">
        <f t="shared" si="11"/>
        <v>ลดลง</v>
      </c>
      <c r="S77" s="519" t="str">
        <f>'สรุปใช้งบ 31กค'!S46</f>
        <v>1.ผอ.อนุมัติ PR แล้ว เมื่อ 15 พ.ค. 69
2.คาดว่าเซ็นสัญญาไม่เกิน เดือน ส.ค. 69 
3.งบเหลือ 3.2 แสนบาท</v>
      </c>
      <c r="T77" s="391" t="str">
        <f t="shared" si="8"/>
        <v xml:space="preserve"> --</v>
      </c>
      <c r="U77" s="392">
        <f t="shared" si="8"/>
        <v>0</v>
      </c>
      <c r="V77" s="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15"/>
      <c r="HQ77" s="15"/>
      <c r="HR77" s="15"/>
      <c r="HS77" s="15"/>
      <c r="HT77" s="15"/>
      <c r="HU77" s="15"/>
      <c r="HV77" s="15"/>
      <c r="HW77" s="15"/>
      <c r="HX77" s="15"/>
      <c r="HY77" s="15"/>
      <c r="HZ77" s="15"/>
      <c r="IA77" s="15"/>
      <c r="IB77" s="15"/>
      <c r="IC77" s="15"/>
      <c r="ID77" s="15"/>
      <c r="IE77" s="15"/>
      <c r="IF77" s="15"/>
    </row>
    <row r="78" spans="2:240" s="16" customFormat="1" ht="35.200000000000003" customHeight="1" x14ac:dyDescent="0.3">
      <c r="B78" s="600"/>
      <c r="C78" s="395" t="s">
        <v>204</v>
      </c>
      <c r="D78" s="382" t="s">
        <v>419</v>
      </c>
      <c r="E78" s="504" t="s">
        <v>224</v>
      </c>
      <c r="F78" s="617" t="s">
        <v>225</v>
      </c>
      <c r="G78" s="617"/>
      <c r="H78" s="455">
        <v>1</v>
      </c>
      <c r="I78" s="460">
        <f>'สรุปใช้งบ 31กค'!H47</f>
        <v>13369200</v>
      </c>
      <c r="J78" s="455" t="s">
        <v>20</v>
      </c>
      <c r="K78" s="457">
        <v>0</v>
      </c>
      <c r="L78" s="379">
        <f>'สรุปใช้งบ 31กค'!H47</f>
        <v>13369200</v>
      </c>
      <c r="M78" s="389">
        <f>'สรุปใช้งบ 31กค'!L47</f>
        <v>13100000</v>
      </c>
      <c r="N78" s="468">
        <f t="shared" si="9"/>
        <v>0.97986416539508725</v>
      </c>
      <c r="O78" s="385">
        <v>0</v>
      </c>
      <c r="P78" s="388">
        <v>0</v>
      </c>
      <c r="Q78" s="468">
        <f t="shared" si="10"/>
        <v>-1</v>
      </c>
      <c r="R78" s="49" t="str">
        <f t="shared" si="11"/>
        <v>ลดลง</v>
      </c>
      <c r="S78" s="519" t="str">
        <f>'สรุปใช้งบ 31กค'!S47</f>
        <v>1.ผอ.อนุมัติ PR แล้ว เมื่อ 21 พ.ค. 69
2.คาดว่าเซ็นสัญญาไม่เกิน เดือน ส.ค. 69 
3.งบเหลือ 2.7 แสนบาท</v>
      </c>
      <c r="T78" s="391" t="str">
        <f t="shared" si="8"/>
        <v xml:space="preserve"> --</v>
      </c>
      <c r="U78" s="392">
        <f t="shared" si="8"/>
        <v>0</v>
      </c>
      <c r="V78" s="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c r="HN78" s="15"/>
      <c r="HO78" s="15"/>
      <c r="HP78" s="15"/>
      <c r="HQ78" s="15"/>
      <c r="HR78" s="15"/>
      <c r="HS78" s="15"/>
      <c r="HT78" s="15"/>
      <c r="HU78" s="15"/>
      <c r="HV78" s="15"/>
      <c r="HW78" s="15"/>
      <c r="HX78" s="15"/>
      <c r="HY78" s="15"/>
      <c r="HZ78" s="15"/>
      <c r="IA78" s="15"/>
      <c r="IB78" s="15"/>
      <c r="IC78" s="15"/>
      <c r="ID78" s="15"/>
      <c r="IE78" s="15"/>
      <c r="IF78" s="15"/>
    </row>
    <row r="79" spans="2:240" s="16" customFormat="1" ht="25.05" customHeight="1" x14ac:dyDescent="0.3">
      <c r="B79" s="600"/>
      <c r="C79" s="395" t="s">
        <v>204</v>
      </c>
      <c r="D79" s="382" t="s">
        <v>424</v>
      </c>
      <c r="E79" s="504" t="s">
        <v>226</v>
      </c>
      <c r="F79" s="660" t="str">
        <f>'สรุปใช้งบ 31กค'!C49</f>
        <v>งานติดตั้งระบบกล้องวงจรปิด CCTV วังบางขุนพรหม วังเทเวศร์ อาคาร 6</v>
      </c>
      <c r="G79" s="661"/>
      <c r="H79" s="455">
        <v>1</v>
      </c>
      <c r="I79" s="461">
        <f>'สรุปใช้งบ 31กค'!H49</f>
        <v>4651200</v>
      </c>
      <c r="J79" s="455" t="s">
        <v>20</v>
      </c>
      <c r="K79" s="457">
        <v>0</v>
      </c>
      <c r="L79" s="379">
        <f>'สรุปใช้งบ 31กค'!H49</f>
        <v>4651200</v>
      </c>
      <c r="M79" s="42">
        <f>'สรุปใช้งบ 31กค'!L49</f>
        <v>4650000</v>
      </c>
      <c r="N79" s="468">
        <f t="shared" si="9"/>
        <v>0.99974200206398345</v>
      </c>
      <c r="O79" s="385">
        <v>0</v>
      </c>
      <c r="P79" s="388">
        <v>0</v>
      </c>
      <c r="Q79" s="468">
        <f t="shared" si="10"/>
        <v>-1</v>
      </c>
      <c r="R79" s="49" t="str">
        <f t="shared" si="11"/>
        <v>ลดลง</v>
      </c>
      <c r="S79" s="519" t="str">
        <f>'สรุปใช้งบ 31กค'!S49</f>
        <v>เสร็จแล้ว ตรวจรับแล้ว 2 เม.ย. 69 /ส่งมอบ 22 มิ.ย. 69</v>
      </c>
      <c r="T79" s="391" t="str">
        <f t="shared" si="8"/>
        <v xml:space="preserve"> --</v>
      </c>
      <c r="U79" s="392">
        <f t="shared" si="8"/>
        <v>0</v>
      </c>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c r="GM79" s="15"/>
      <c r="GN79" s="15"/>
      <c r="GO79" s="15"/>
      <c r="GP79" s="15"/>
      <c r="GQ79" s="15"/>
      <c r="GR79" s="15"/>
      <c r="GS79" s="15"/>
      <c r="GT79" s="15"/>
      <c r="GU79" s="15"/>
      <c r="GV79" s="15"/>
      <c r="GW79" s="15"/>
      <c r="GX79" s="15"/>
      <c r="GY79" s="15"/>
      <c r="GZ79" s="15"/>
      <c r="HA79" s="15"/>
      <c r="HB79" s="15"/>
      <c r="HC79" s="15"/>
      <c r="HD79" s="15"/>
      <c r="HE79" s="15"/>
      <c r="HF79" s="15"/>
      <c r="HG79" s="15"/>
      <c r="HH79" s="15"/>
      <c r="HI79" s="15"/>
      <c r="HJ79" s="15"/>
      <c r="HK79" s="15"/>
      <c r="HL79" s="15"/>
      <c r="HM79" s="15"/>
      <c r="HN79" s="15"/>
      <c r="HO79" s="15"/>
      <c r="HP79" s="15"/>
      <c r="HQ79" s="15"/>
      <c r="HR79" s="15"/>
      <c r="HS79" s="15"/>
      <c r="HT79" s="15"/>
      <c r="HU79" s="15"/>
      <c r="HV79" s="15"/>
      <c r="HW79" s="15"/>
      <c r="HX79" s="15"/>
      <c r="HY79" s="15"/>
      <c r="HZ79" s="15"/>
      <c r="IA79" s="15"/>
      <c r="IB79" s="15"/>
      <c r="IC79" s="15"/>
      <c r="ID79" s="15"/>
      <c r="IE79" s="15"/>
      <c r="IF79" s="15"/>
    </row>
    <row r="80" spans="2:240" s="16" customFormat="1" ht="25.05" customHeight="1" x14ac:dyDescent="0.3">
      <c r="B80" s="600"/>
      <c r="C80" s="395" t="s">
        <v>204</v>
      </c>
      <c r="D80" s="382" t="s">
        <v>427</v>
      </c>
      <c r="E80" s="382" t="s">
        <v>227</v>
      </c>
      <c r="F80" s="660" t="str">
        <f>'สรุปใช้งบ 31กค'!C50</f>
        <v>งานติดตั้งระบบกล้องวงจรปิด CCTV ห้องประชุมส่วนกลางอาคาร 1, 2, 7</v>
      </c>
      <c r="G80" s="661"/>
      <c r="H80" s="455">
        <v>1</v>
      </c>
      <c r="I80" s="461">
        <f>'สรุปใช้งบ 31กค'!H50</f>
        <v>1190000</v>
      </c>
      <c r="J80" s="455" t="s">
        <v>20</v>
      </c>
      <c r="K80" s="457">
        <v>0</v>
      </c>
      <c r="L80" s="404">
        <f>'สรุปใช้งบ 31กค'!H50</f>
        <v>1190000</v>
      </c>
      <c r="M80" s="405">
        <f>'สรุปใช้งบ 31กค'!L50</f>
        <v>1180000</v>
      </c>
      <c r="N80" s="468">
        <f t="shared" si="9"/>
        <v>0.99159663865546221</v>
      </c>
      <c r="O80" s="385">
        <v>0</v>
      </c>
      <c r="P80" s="388">
        <v>0</v>
      </c>
      <c r="Q80" s="468">
        <f t="shared" si="10"/>
        <v>-1</v>
      </c>
      <c r="R80" s="49" t="str">
        <f t="shared" si="11"/>
        <v>ลดลง</v>
      </c>
      <c r="S80" s="519" t="str">
        <f>'สรุปใช้งบ 31กค'!S50</f>
        <v>เสร็จแล้ว ตรวจรับแล้ว 3 ก.พ. 69 /ส่งมอบ 22 ก.พ. 69</v>
      </c>
      <c r="T80" s="391" t="str">
        <f t="shared" si="8"/>
        <v xml:space="preserve"> --</v>
      </c>
      <c r="U80" s="392">
        <f t="shared" si="8"/>
        <v>0</v>
      </c>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c r="EU80" s="15"/>
      <c r="EV80" s="15"/>
      <c r="EW80" s="15"/>
      <c r="EX80" s="15"/>
      <c r="EY80" s="15"/>
      <c r="EZ80" s="15"/>
      <c r="FA80" s="15"/>
      <c r="FB80" s="15"/>
      <c r="FC80" s="15"/>
      <c r="FD80" s="15"/>
      <c r="FE80" s="15"/>
      <c r="FF80" s="15"/>
      <c r="FG80" s="15"/>
      <c r="FH80" s="15"/>
      <c r="FI80" s="15"/>
      <c r="FJ80" s="15"/>
      <c r="FK80" s="15"/>
      <c r="FL80" s="15"/>
      <c r="FM80" s="15"/>
      <c r="FN80" s="15"/>
      <c r="FO80" s="15"/>
      <c r="FP80" s="15"/>
      <c r="FQ80" s="15"/>
      <c r="FR80" s="15"/>
      <c r="FS80" s="15"/>
      <c r="FT80" s="15"/>
      <c r="FU80" s="15"/>
      <c r="FV80" s="15"/>
      <c r="FW80" s="15"/>
      <c r="FX80" s="15"/>
      <c r="FY80" s="15"/>
      <c r="FZ80" s="15"/>
      <c r="GA80" s="15"/>
      <c r="GB80" s="15"/>
      <c r="GC80" s="15"/>
      <c r="GD80" s="15"/>
      <c r="GE80" s="15"/>
      <c r="GF80" s="15"/>
      <c r="GG80" s="15"/>
      <c r="GH80" s="15"/>
      <c r="GI80" s="15"/>
      <c r="GJ80" s="15"/>
      <c r="GK80" s="15"/>
      <c r="GL80" s="15"/>
      <c r="GM80" s="15"/>
      <c r="GN80" s="15"/>
      <c r="GO80" s="15"/>
      <c r="GP80" s="15"/>
      <c r="GQ80" s="15"/>
      <c r="GR80" s="15"/>
      <c r="GS80" s="15"/>
      <c r="GT80" s="15"/>
      <c r="GU80" s="15"/>
      <c r="GV80" s="15"/>
      <c r="GW80" s="15"/>
      <c r="GX80" s="15"/>
      <c r="GY80" s="15"/>
      <c r="GZ80" s="15"/>
      <c r="HA80" s="15"/>
      <c r="HB80" s="15"/>
      <c r="HC80" s="15"/>
      <c r="HD80" s="15"/>
      <c r="HE80" s="15"/>
      <c r="HF80" s="15"/>
      <c r="HG80" s="15"/>
      <c r="HH80" s="15"/>
      <c r="HI80" s="15"/>
      <c r="HJ80" s="15"/>
      <c r="HK80" s="15"/>
      <c r="HL80" s="15"/>
      <c r="HM80" s="15"/>
      <c r="HN80" s="15"/>
      <c r="HO80" s="15"/>
      <c r="HP80" s="15"/>
      <c r="HQ80" s="15"/>
      <c r="HR80" s="15"/>
      <c r="HS80" s="15"/>
      <c r="HT80" s="15"/>
      <c r="HU80" s="15"/>
      <c r="HV80" s="15"/>
      <c r="HW80" s="15"/>
      <c r="HX80" s="15"/>
      <c r="HY80" s="15"/>
      <c r="HZ80" s="15"/>
      <c r="IA80" s="15"/>
      <c r="IB80" s="15"/>
      <c r="IC80" s="15"/>
      <c r="ID80" s="15"/>
      <c r="IE80" s="15"/>
      <c r="IF80" s="15"/>
    </row>
    <row r="81" spans="2:240" s="4" customFormat="1" ht="20.2" customHeight="1" thickBot="1" x14ac:dyDescent="0.35">
      <c r="B81" s="46"/>
      <c r="C81" s="396"/>
      <c r="D81" s="668" t="s">
        <v>228</v>
      </c>
      <c r="E81" s="669"/>
      <c r="F81" s="669"/>
      <c r="G81" s="669"/>
      <c r="H81" s="462"/>
      <c r="I81" s="463"/>
      <c r="J81" s="462"/>
      <c r="K81" s="463"/>
      <c r="L81" s="406">
        <f>L5+L40</f>
        <v>109212000</v>
      </c>
      <c r="M81" s="406">
        <f>SUM(M40,M5)</f>
        <v>61945702.033333339</v>
      </c>
      <c r="N81" s="536">
        <f t="shared" si="9"/>
        <v>0.56720600330854976</v>
      </c>
      <c r="O81" s="541">
        <f>SUM(O40,O5)</f>
        <v>119372454.375</v>
      </c>
      <c r="P81" s="542">
        <f>O81-L81</f>
        <v>10160454.375</v>
      </c>
      <c r="Q81" s="543">
        <f t="shared" si="10"/>
        <v>9.3034230441709775E-2</v>
      </c>
      <c r="R81" s="544" t="str">
        <f t="shared" si="11"/>
        <v>เพิ่มขึ้น</v>
      </c>
      <c r="S81" s="545" t="s">
        <v>664</v>
      </c>
      <c r="T81" s="11" t="s">
        <v>24</v>
      </c>
      <c r="U81" s="525">
        <f>SUM(U40,U5)</f>
        <v>103563089.375</v>
      </c>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row>
    <row r="82" spans="2:240" ht="13.9" thickTop="1" x14ac:dyDescent="0.35"/>
    <row r="85" spans="2:240" x14ac:dyDescent="0.35">
      <c r="D85" t="s">
        <v>229</v>
      </c>
    </row>
    <row r="86" spans="2:240" s="16" customFormat="1" ht="22.5" customHeight="1" x14ac:dyDescent="0.35">
      <c r="B86" s="47"/>
      <c r="C86" s="395"/>
      <c r="D86"/>
      <c r="E86" s="408" t="s">
        <v>144</v>
      </c>
      <c r="F86" s="601" t="s">
        <v>230</v>
      </c>
      <c r="G86" s="602"/>
      <c r="H86" s="450" t="s">
        <v>20</v>
      </c>
      <c r="I86" s="450" t="s">
        <v>20</v>
      </c>
      <c r="J86" s="450"/>
      <c r="K86" s="452"/>
      <c r="L86" s="307">
        <v>0</v>
      </c>
      <c r="M86" s="307">
        <v>0</v>
      </c>
      <c r="N86" s="540">
        <f>IFERROR(M86/L86,1)</f>
        <v>1</v>
      </c>
      <c r="O86" s="56">
        <f t="shared" ref="O86" si="13">K86*J86</f>
        <v>0</v>
      </c>
      <c r="P86" s="59">
        <f>O86-L86</f>
        <v>0</v>
      </c>
      <c r="Q86" s="58"/>
      <c r="R86" s="49" t="str">
        <f>IF(O86&gt;L86,"เพิ่มขึ้น",IF(O86&lt;L86,"ลดลง",IF(O86=L86,"--")))</f>
        <v>--</v>
      </c>
      <c r="S86" s="33"/>
      <c r="T86" s="22"/>
      <c r="U86" s="23"/>
      <c r="V86" s="15">
        <v>5</v>
      </c>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c r="DZ86" s="15"/>
      <c r="EA86" s="15"/>
      <c r="EB86" s="15"/>
      <c r="EC86" s="15"/>
      <c r="ED86" s="15"/>
      <c r="EE86" s="15"/>
      <c r="EF86" s="15"/>
      <c r="EG86" s="15"/>
      <c r="EH86" s="15"/>
      <c r="EI86" s="15"/>
      <c r="EJ86" s="15"/>
      <c r="EK86" s="15"/>
      <c r="EL86" s="15"/>
      <c r="EM86" s="15"/>
      <c r="EN86" s="15"/>
      <c r="EO86" s="15"/>
      <c r="EP86" s="15"/>
      <c r="EQ86" s="15"/>
      <c r="ER86" s="15"/>
      <c r="ES86" s="15"/>
      <c r="ET86" s="15"/>
      <c r="EU86" s="15"/>
      <c r="EV86" s="15"/>
      <c r="EW86" s="15"/>
      <c r="EX86" s="15"/>
      <c r="EY86" s="15"/>
      <c r="EZ86" s="15"/>
      <c r="FA86" s="15"/>
      <c r="FB86" s="15"/>
      <c r="FC86" s="15"/>
      <c r="FD86" s="15"/>
      <c r="FE86" s="15"/>
      <c r="FF86" s="15"/>
      <c r="FG86" s="15"/>
      <c r="FH86" s="15"/>
      <c r="FI86" s="15"/>
      <c r="FJ86" s="15"/>
      <c r="FK86" s="15"/>
      <c r="FL86" s="15"/>
      <c r="FM86" s="15"/>
      <c r="FN86" s="15"/>
      <c r="FO86" s="15"/>
      <c r="FP86" s="15"/>
      <c r="FQ86" s="15"/>
      <c r="FR86" s="15"/>
      <c r="FS86" s="15"/>
      <c r="FT86" s="15"/>
      <c r="FU86" s="15"/>
      <c r="FV86" s="15"/>
      <c r="FW86" s="15"/>
      <c r="FX86" s="15"/>
      <c r="FY86" s="15"/>
      <c r="FZ86" s="15"/>
      <c r="GA86" s="15"/>
      <c r="GB86" s="15"/>
      <c r="GC86" s="15"/>
      <c r="GD86" s="15"/>
      <c r="GE86" s="15"/>
      <c r="GF86" s="15"/>
      <c r="GG86" s="15"/>
      <c r="GH86" s="15"/>
      <c r="GI86" s="15"/>
      <c r="GJ86" s="15"/>
      <c r="GK86" s="15"/>
      <c r="GL86" s="15"/>
      <c r="GM86" s="15"/>
      <c r="GN86" s="15"/>
      <c r="GO86" s="15"/>
      <c r="GP86" s="15"/>
      <c r="GQ86" s="15"/>
      <c r="GR86" s="15"/>
      <c r="GS86" s="15"/>
      <c r="GT86" s="15"/>
      <c r="GU86" s="15"/>
      <c r="GV86" s="15"/>
      <c r="GW86" s="15"/>
      <c r="GX86" s="15"/>
      <c r="GY86" s="15"/>
      <c r="GZ86" s="15"/>
      <c r="HA86" s="15"/>
      <c r="HB86" s="15"/>
      <c r="HC86" s="15"/>
      <c r="HD86" s="15"/>
      <c r="HE86" s="15"/>
      <c r="HF86" s="15"/>
      <c r="HG86" s="15"/>
      <c r="HH86" s="15"/>
      <c r="HI86" s="15"/>
      <c r="HJ86" s="15"/>
      <c r="HK86" s="15"/>
      <c r="HL86" s="15"/>
      <c r="HM86" s="15"/>
      <c r="HN86" s="15"/>
      <c r="HO86" s="15"/>
      <c r="HP86" s="15"/>
      <c r="HQ86" s="15"/>
      <c r="HR86" s="15"/>
      <c r="HS86" s="15"/>
      <c r="HT86" s="15"/>
      <c r="HU86" s="15"/>
      <c r="HV86" s="15"/>
      <c r="HW86" s="15"/>
      <c r="HX86" s="15"/>
      <c r="HY86" s="15"/>
      <c r="HZ86" s="15"/>
      <c r="IA86" s="15"/>
      <c r="IB86" s="15"/>
      <c r="IC86" s="15"/>
      <c r="ID86" s="15"/>
      <c r="IE86" s="15"/>
      <c r="IF86" s="15"/>
    </row>
  </sheetData>
  <mergeCells count="156">
    <mergeCell ref="D81:G81"/>
    <mergeCell ref="F86:G86"/>
    <mergeCell ref="B77:B78"/>
    <mergeCell ref="F77:G77"/>
    <mergeCell ref="F78:G78"/>
    <mergeCell ref="B79:B80"/>
    <mergeCell ref="F79:G79"/>
    <mergeCell ref="F80:G80"/>
    <mergeCell ref="B73:B74"/>
    <mergeCell ref="F73:G73"/>
    <mergeCell ref="F74:G74"/>
    <mergeCell ref="B75:B76"/>
    <mergeCell ref="F75:G75"/>
    <mergeCell ref="F76:G76"/>
    <mergeCell ref="L71:L72"/>
    <mergeCell ref="M71:M72"/>
    <mergeCell ref="N71:N72"/>
    <mergeCell ref="R71:R72"/>
    <mergeCell ref="S71:S72"/>
    <mergeCell ref="F72:G72"/>
    <mergeCell ref="F69:G69"/>
    <mergeCell ref="F70:G70"/>
    <mergeCell ref="B71:B72"/>
    <mergeCell ref="D71:D72"/>
    <mergeCell ref="F71:G71"/>
    <mergeCell ref="I71:I72"/>
    <mergeCell ref="B64:B65"/>
    <mergeCell ref="F64:G64"/>
    <mergeCell ref="F65:G65"/>
    <mergeCell ref="F66:G66"/>
    <mergeCell ref="F67:G67"/>
    <mergeCell ref="F68:G68"/>
    <mergeCell ref="S59:S60"/>
    <mergeCell ref="F60:G60"/>
    <mergeCell ref="F61:G61"/>
    <mergeCell ref="B62:B63"/>
    <mergeCell ref="F62:G62"/>
    <mergeCell ref="F63:G63"/>
    <mergeCell ref="F55:G55"/>
    <mergeCell ref="F56:G56"/>
    <mergeCell ref="F57:G57"/>
    <mergeCell ref="D58:D59"/>
    <mergeCell ref="F58:G58"/>
    <mergeCell ref="B59:B60"/>
    <mergeCell ref="F59:G59"/>
    <mergeCell ref="S48:S50"/>
    <mergeCell ref="F49:G49"/>
    <mergeCell ref="F50:G50"/>
    <mergeCell ref="F51:G51"/>
    <mergeCell ref="F52:G52"/>
    <mergeCell ref="D53:D54"/>
    <mergeCell ref="F53:G53"/>
    <mergeCell ref="S53:S54"/>
    <mergeCell ref="F54:G54"/>
    <mergeCell ref="F45:G45"/>
    <mergeCell ref="F46:G46"/>
    <mergeCell ref="F47:G47"/>
    <mergeCell ref="B48:B51"/>
    <mergeCell ref="C48:C51"/>
    <mergeCell ref="D48:D50"/>
    <mergeCell ref="E48:E51"/>
    <mergeCell ref="F48:G48"/>
    <mergeCell ref="D40:G40"/>
    <mergeCell ref="F41:G41"/>
    <mergeCell ref="F42:G42"/>
    <mergeCell ref="B43:B44"/>
    <mergeCell ref="D43:D44"/>
    <mergeCell ref="F43:G43"/>
    <mergeCell ref="F44:G44"/>
    <mergeCell ref="F36:G36"/>
    <mergeCell ref="H36:K36"/>
    <mergeCell ref="F37:G37"/>
    <mergeCell ref="H37:K37"/>
    <mergeCell ref="B38:B39"/>
    <mergeCell ref="F38:G38"/>
    <mergeCell ref="H38:K38"/>
    <mergeCell ref="F39:G39"/>
    <mergeCell ref="H39:K39"/>
    <mergeCell ref="S24:S25"/>
    <mergeCell ref="H25:K25"/>
    <mergeCell ref="B26:B27"/>
    <mergeCell ref="H26:K26"/>
    <mergeCell ref="F27:G27"/>
    <mergeCell ref="H27:K27"/>
    <mergeCell ref="F31:G35"/>
    <mergeCell ref="H31:K31"/>
    <mergeCell ref="B32:B33"/>
    <mergeCell ref="H32:K32"/>
    <mergeCell ref="H33:K33"/>
    <mergeCell ref="B34:B35"/>
    <mergeCell ref="H34:K34"/>
    <mergeCell ref="H35:K35"/>
    <mergeCell ref="F28:G28"/>
    <mergeCell ref="H28:K28"/>
    <mergeCell ref="F29:G29"/>
    <mergeCell ref="H29:K29"/>
    <mergeCell ref="B30:B31"/>
    <mergeCell ref="F30:G30"/>
    <mergeCell ref="H30:K30"/>
    <mergeCell ref="C31:C35"/>
    <mergeCell ref="D31:D35"/>
    <mergeCell ref="E31:E35"/>
    <mergeCell ref="F20:G20"/>
    <mergeCell ref="H20:K20"/>
    <mergeCell ref="H21:K21"/>
    <mergeCell ref="B22:B23"/>
    <mergeCell ref="H22:K22"/>
    <mergeCell ref="C23:C26"/>
    <mergeCell ref="D23:D26"/>
    <mergeCell ref="E23:E26"/>
    <mergeCell ref="F23:G26"/>
    <mergeCell ref="H23:K23"/>
    <mergeCell ref="B24:B25"/>
    <mergeCell ref="H24:K24"/>
    <mergeCell ref="S15:S17"/>
    <mergeCell ref="B16:B17"/>
    <mergeCell ref="H16:K16"/>
    <mergeCell ref="C17:C19"/>
    <mergeCell ref="E17:E19"/>
    <mergeCell ref="H17:K17"/>
    <mergeCell ref="H18:K18"/>
    <mergeCell ref="S18:S19"/>
    <mergeCell ref="H19:K19"/>
    <mergeCell ref="B12:B13"/>
    <mergeCell ref="F12:G12"/>
    <mergeCell ref="H12:K12"/>
    <mergeCell ref="F13:G13"/>
    <mergeCell ref="H13:K13"/>
    <mergeCell ref="B14:B15"/>
    <mergeCell ref="C14:C16"/>
    <mergeCell ref="D14:D19"/>
    <mergeCell ref="E14:E16"/>
    <mergeCell ref="F14:G19"/>
    <mergeCell ref="H14:K14"/>
    <mergeCell ref="H15:K15"/>
    <mergeCell ref="F9:G9"/>
    <mergeCell ref="H9:K9"/>
    <mergeCell ref="F10:G10"/>
    <mergeCell ref="H10:K10"/>
    <mergeCell ref="F11:G11"/>
    <mergeCell ref="H11:K11"/>
    <mergeCell ref="B5:B6"/>
    <mergeCell ref="D5:G5"/>
    <mergeCell ref="F6:G6"/>
    <mergeCell ref="H6:K6"/>
    <mergeCell ref="H7:K7"/>
    <mergeCell ref="H8:K8"/>
    <mergeCell ref="D1:U1"/>
    <mergeCell ref="B3:B4"/>
    <mergeCell ref="D3:D4"/>
    <mergeCell ref="E3:E4"/>
    <mergeCell ref="F3:G4"/>
    <mergeCell ref="H3:K4"/>
    <mergeCell ref="L3:N3"/>
    <mergeCell ref="O3:S3"/>
    <mergeCell ref="T3:U3"/>
  </mergeCells>
  <conditionalFormatting sqref="I79:I80 L79:M80">
    <cfRule type="containsText" dxfId="227" priority="29" stopIfTrue="1" operator="containsText" text="เพิ่มขึ้น">
      <formula>NOT(ISERROR(SEARCH("เพิ่มขึ้น",I79)))</formula>
    </cfRule>
    <cfRule type="containsText" dxfId="226" priority="30" stopIfTrue="1" operator="containsText" text="ลดลง">
      <formula>NOT(ISERROR(SEARCH("ลดลง",I79)))</formula>
    </cfRule>
    <cfRule type="containsText" dxfId="225" priority="24" stopIfTrue="1" operator="containsText" text="ลดลง">
      <formula>NOT(ISERROR(SEARCH("ลดลง",I79)))</formula>
    </cfRule>
    <cfRule type="containsText" dxfId="224" priority="25" stopIfTrue="1" operator="containsText" text="เพิ่มขึ้น">
      <formula>NOT(ISERROR(SEARCH("เพิ่มขึ้น",I79)))</formula>
    </cfRule>
    <cfRule type="containsText" dxfId="223" priority="26" stopIfTrue="1" operator="containsText" text="เท่าเดิม">
      <formula>NOT(ISERROR(SEARCH("เท่าเดิม",I79)))</formula>
    </cfRule>
    <cfRule type="containsText" dxfId="222" priority="27" stopIfTrue="1" operator="containsText" text="เพิ่มขึ้น">
      <formula>NOT(ISERROR(SEARCH("เพิ่มขึ้น",I79)))</formula>
    </cfRule>
    <cfRule type="containsText" dxfId="221" priority="28" stopIfTrue="1" operator="containsText" text="ลดลง">
      <formula>NOT(ISERROR(SEARCH("ลดลง",I79)))</formula>
    </cfRule>
  </conditionalFormatting>
  <conditionalFormatting sqref="L73:M80 I79:I80 R2:R71 M2 M4 L6:M39 L41:M71 R73:R81">
    <cfRule type="containsText" dxfId="220" priority="31" stopIfTrue="1" operator="containsText" text="ลดลง">
      <formula>NOT(ISERROR(SEARCH("ลดลง",I2)))</formula>
    </cfRule>
  </conditionalFormatting>
  <conditionalFormatting sqref="L86:M86 R86">
    <cfRule type="containsText" dxfId="219" priority="19" stopIfTrue="1" operator="containsText" text="ลดลง">
      <formula>NOT(ISERROR(SEARCH("ลดลง",L86)))</formula>
    </cfRule>
    <cfRule type="containsText" dxfId="218" priority="14" stopIfTrue="1" operator="containsText" text="เพิ่มขึ้น">
      <formula>NOT(ISERROR(SEARCH("เพิ่มขึ้น",L86)))</formula>
    </cfRule>
    <cfRule type="containsText" dxfId="217" priority="20" stopIfTrue="1" operator="containsText" text="เพิ่มขึ้น">
      <formula>NOT(ISERROR(SEARCH("เพิ่มขึ้น",L86)))</formula>
    </cfRule>
    <cfRule type="containsText" dxfId="216" priority="18" stopIfTrue="1" operator="containsText" text="เพิ่มขึ้น">
      <formula>NOT(ISERROR(SEARCH("เพิ่มขึ้น",L86)))</formula>
    </cfRule>
    <cfRule type="containsText" dxfId="215" priority="13" stopIfTrue="1" operator="containsText" text="ลดลง">
      <formula>NOT(ISERROR(SEARCH("ลดลง",L86)))</formula>
    </cfRule>
    <cfRule type="containsText" dxfId="214" priority="21" stopIfTrue="1" operator="containsText" text="ลดลง">
      <formula>NOT(ISERROR(SEARCH("ลดลง",L86)))</formula>
    </cfRule>
  </conditionalFormatting>
  <conditionalFormatting sqref="M2 R2:R71 M4 L6:M39 L41:M71 L73:M80 R73:R81 I79:I80">
    <cfRule type="containsText" dxfId="213" priority="32" stopIfTrue="1" operator="containsText" text="เพิ่มขึ้น">
      <formula>NOT(ISERROR(SEARCH("เพิ่มขึ้น",I2)))</formula>
    </cfRule>
  </conditionalFormatting>
  <conditionalFormatting sqref="P61:Q61">
    <cfRule type="expression" dxfId="212" priority="10" stopIfTrue="1">
      <formula>$R$5:$R$81=เพิ่มขึ้น</formula>
    </cfRule>
    <cfRule type="expression" dxfId="211" priority="11" stopIfTrue="1">
      <formula>$R$5:$R$81=ลดลง</formula>
    </cfRule>
    <cfRule type="expression" dxfId="210" priority="12" stopIfTrue="1">
      <formula>P61=ลดลง</formula>
    </cfRule>
    <cfRule type="containsText" dxfId="209" priority="1" stopIfTrue="1" operator="containsText" text="ลดลง">
      <formula>NOT(ISERROR(SEARCH("ลดลง",P61)))</formula>
    </cfRule>
    <cfRule type="containsText" dxfId="208" priority="2" stopIfTrue="1" operator="containsText" text="เพิ่มขึ้น">
      <formula>NOT(ISERROR(SEARCH("เพิ่มขึ้น",P61)))</formula>
    </cfRule>
    <cfRule type="containsText" dxfId="207" priority="3" stopIfTrue="1" operator="containsText" text="เท่าเดิม">
      <formula>NOT(ISERROR(SEARCH("เท่าเดิม",P61)))</formula>
    </cfRule>
    <cfRule type="containsText" dxfId="206" priority="4" stopIfTrue="1" operator="containsText" text="เพิ่มขึ้น">
      <formula>NOT(ISERROR(SEARCH("เพิ่มขึ้น",P61)))</formula>
    </cfRule>
    <cfRule type="containsText" dxfId="205" priority="5" stopIfTrue="1" operator="containsText" text="ลดลง">
      <formula>NOT(ISERROR(SEARCH("ลดลง",P61)))</formula>
    </cfRule>
    <cfRule type="containsText" dxfId="204" priority="6" stopIfTrue="1" operator="containsText" text="เพิ่มขึ้น">
      <formula>NOT(ISERROR(SEARCH("เพิ่มขึ้น",P61)))</formula>
    </cfRule>
    <cfRule type="containsText" dxfId="203" priority="7" stopIfTrue="1" operator="containsText" text="ลดลง">
      <formula>NOT(ISERROR(SEARCH("ลดลง",P61)))</formula>
    </cfRule>
    <cfRule type="expression" dxfId="202" priority="8" stopIfTrue="1">
      <formula>$R$5:$R$81=n.a.</formula>
    </cfRule>
    <cfRule type="expression" dxfId="201" priority="9" stopIfTrue="1">
      <formula>$R$5:$R$81=คงเดิม</formula>
    </cfRule>
  </conditionalFormatting>
  <conditionalFormatting sqref="R2:R71 R73:R1048576">
    <cfRule type="expression" dxfId="200" priority="35">
      <formula>เท่าเดิม</formula>
    </cfRule>
  </conditionalFormatting>
  <conditionalFormatting sqref="R5:R71 L6:M39 L41:M71 L73:M80 R73:R81 I79:I80 S21:S23 S27:S28 R86 L86:M86">
    <cfRule type="expression" dxfId="199" priority="48" stopIfTrue="1">
      <formula>$R$5:$R$81=n.a.</formula>
    </cfRule>
  </conditionalFormatting>
  <conditionalFormatting sqref="R5:R71 L6:M39 L41:M71 L73:M80 R73:R81 I79:I80">
    <cfRule type="containsText" dxfId="198" priority="44" stopIfTrue="1" operator="containsText" text="เพิ่มขึ้น">
      <formula>NOT(ISERROR(SEARCH("เพิ่มขึ้น",I5)))</formula>
    </cfRule>
    <cfRule type="containsText" dxfId="197" priority="45" stopIfTrue="1" operator="containsText" text="ลดลง">
      <formula>NOT(ISERROR(SEARCH("ลดลง",I5)))</formula>
    </cfRule>
    <cfRule type="containsText" dxfId="196" priority="46" stopIfTrue="1" operator="containsText" text="เพิ่มขึ้น">
      <formula>NOT(ISERROR(SEARCH("เพิ่มขึ้น",I5)))</formula>
    </cfRule>
    <cfRule type="containsText" dxfId="195" priority="47" stopIfTrue="1" operator="containsText" text="ลดลง">
      <formula>NOT(ISERROR(SEARCH("ลดลง",I5)))</formula>
    </cfRule>
  </conditionalFormatting>
  <conditionalFormatting sqref="R5:R71 L6:M39 S21:S23 S27:S28 L41:M71 L73:M80 R73:R81 I79:I80 L86:M86 R86">
    <cfRule type="expression" dxfId="194" priority="50" stopIfTrue="1">
      <formula>$R$5:$R$81=เพิ่มขึ้น</formula>
    </cfRule>
    <cfRule type="expression" dxfId="193" priority="49" stopIfTrue="1">
      <formula>$R$5:$R$81=คงเดิม</formula>
    </cfRule>
    <cfRule type="expression" dxfId="192" priority="51" stopIfTrue="1">
      <formula>$R$5:$R$81=ลดลง</formula>
    </cfRule>
    <cfRule type="expression" dxfId="191" priority="52" stopIfTrue="1">
      <formula>I5=ลดลง</formula>
    </cfRule>
  </conditionalFormatting>
  <conditionalFormatting sqref="R5:R71 R73:R81 L6:M39 L41:M71 L73:M80 I79:I80">
    <cfRule type="containsText" dxfId="190" priority="43" stopIfTrue="1" operator="containsText" text="เท่าเดิม">
      <formula>NOT(ISERROR(SEARCH("เท่าเดิม",I5)))</formula>
    </cfRule>
  </conditionalFormatting>
  <conditionalFormatting sqref="R6 R9 R13 R16 R19 R22 R25 R28 R31 R34 R37 R40 R43:R68 R70:R71 R74:R80">
    <cfRule type="expression" dxfId="189" priority="33">
      <formula>$R$6=ลดลง</formula>
    </cfRule>
    <cfRule type="expression" dxfId="188" priority="34">
      <formula>$R$6=เพิ่มขึ้น</formula>
    </cfRule>
  </conditionalFormatting>
  <conditionalFormatting sqref="R49:R50">
    <cfRule type="expression" dxfId="187" priority="23">
      <formula>$R$6=เพิ่มขึ้น</formula>
    </cfRule>
    <cfRule type="expression" dxfId="186" priority="22">
      <formula>$R$6=ลดลง</formula>
    </cfRule>
  </conditionalFormatting>
  <conditionalFormatting sqref="R86 L86:M86">
    <cfRule type="containsText" dxfId="185" priority="17" stopIfTrue="1" operator="containsText" text="เท่าเดิม">
      <formula>NOT(ISERROR(SEARCH("เท่าเดิม",L86)))</formula>
    </cfRule>
  </conditionalFormatting>
  <conditionalFormatting sqref="R86">
    <cfRule type="expression" dxfId="184" priority="16">
      <formula>$R$6=เพิ่มขึ้น</formula>
    </cfRule>
    <cfRule type="expression" dxfId="183" priority="15">
      <formula>$R$6=ลดลง</formula>
    </cfRule>
  </conditionalFormatting>
  <conditionalFormatting sqref="S21:S24 S26:S39">
    <cfRule type="containsText" dxfId="182" priority="39" stopIfTrue="1" operator="containsText" text="เพิ่มขึ้น">
      <formula>NOT(ISERROR(SEARCH("เพิ่มขึ้น",S21)))</formula>
    </cfRule>
    <cfRule type="containsText" dxfId="181" priority="40" stopIfTrue="1" operator="containsText" text="ลดลง">
      <formula>NOT(ISERROR(SEARCH("ลดลง",S21)))</formula>
    </cfRule>
    <cfRule type="containsText" dxfId="180" priority="41" stopIfTrue="1" operator="containsText" text="เพิ่มขึ้น">
      <formula>NOT(ISERROR(SEARCH("เพิ่มขึ้น",S21)))</formula>
    </cfRule>
    <cfRule type="containsText" dxfId="179" priority="42" stopIfTrue="1" operator="containsText" text="ลดลง">
      <formula>NOT(ISERROR(SEARCH("ลดลง",S21)))</formula>
    </cfRule>
    <cfRule type="containsText" dxfId="178" priority="36" stopIfTrue="1" operator="containsText" text="ลดลง">
      <formula>NOT(ISERROR(SEARCH("ลดลง",S21)))</formula>
    </cfRule>
    <cfRule type="containsText" dxfId="177" priority="37" stopIfTrue="1" operator="containsText" text="เพิ่มขึ้น">
      <formula>NOT(ISERROR(SEARCH("เพิ่มขึ้น",S21)))</formula>
    </cfRule>
    <cfRule type="containsText" dxfId="176" priority="38" stopIfTrue="1" operator="containsText" text="เท่าเดิม">
      <formula>NOT(ISERROR(SEARCH("เท่าเดิม",S21)))</formula>
    </cfRule>
  </conditionalFormatting>
  <conditionalFormatting sqref="S32">
    <cfRule type="expression" dxfId="175" priority="53" stopIfTrue="1">
      <formula>$R$5:$R$81=n.a.</formula>
    </cfRule>
    <cfRule type="expression" dxfId="174" priority="54" stopIfTrue="1">
      <formula>$R$5:$R$81=คงเดิม</formula>
    </cfRule>
    <cfRule type="expression" dxfId="173" priority="55" stopIfTrue="1">
      <formula>$R$5:$R$81=เพิ่มขึ้น</formula>
    </cfRule>
    <cfRule type="expression" dxfId="172" priority="56" stopIfTrue="1">
      <formula>$R$5:$R$81=ลดลง</formula>
    </cfRule>
    <cfRule type="expression" dxfId="171" priority="57" stopIfTrue="1">
      <formula>S32=ลดลง</formula>
    </cfRule>
  </conditionalFormatting>
  <hyperlinks>
    <hyperlink ref="D51" r:id="rId1" display="C2" xr:uid="{6761D329-DFC3-43FD-8B93-8BB890510066}"/>
    <hyperlink ref="E48:E51" r:id="rId2" display="B8" xr:uid="{39FC5579-C610-47A3-B391-215EC95BC38B}"/>
    <hyperlink ref="E8" r:id="rId3" xr:uid="{9CB932AA-0195-4568-A8FF-95AB09A13CE9}"/>
    <hyperlink ref="E7" r:id="rId4" xr:uid="{F4792961-1B86-43BF-A8D5-EE9896967F46}"/>
    <hyperlink ref="E9" r:id="rId5" xr:uid="{E59A169A-EA48-49B2-829A-9346D03C982E}"/>
    <hyperlink ref="E10" r:id="rId6" xr:uid="{A8A07F88-12A0-4C14-BE4F-DB2D44F7A30F}"/>
    <hyperlink ref="E12" r:id="rId7" xr:uid="{895D682C-EDAD-4170-A7A1-4582F7D3F7B4}"/>
    <hyperlink ref="E13" r:id="rId8" xr:uid="{88B32ED2-DBF8-4C2A-BD52-F2C820B55395}"/>
    <hyperlink ref="E14:E16" r:id="rId9" display="A6-1 (ปี69)" xr:uid="{30DC5EB2-98E0-4EF8-A99E-74D5D4981BD1}"/>
    <hyperlink ref="E17:E19" r:id="rId10" display="A6-2 (ปี70)" xr:uid="{189D5F9C-57B5-4E7C-8D44-73A2F96E5AD7}"/>
    <hyperlink ref="E21" r:id="rId11" xr:uid="{2DC5495F-3838-4934-9C70-E4152C95EC65}"/>
    <hyperlink ref="E23:E26" r:id="rId12" display="A8" xr:uid="{BE9B5204-BB16-47E2-BD04-8F20EAD6E3CC}"/>
    <hyperlink ref="E27" r:id="rId13" xr:uid="{56B67C54-5AC2-4D0D-8535-E5D4CA93489F}"/>
    <hyperlink ref="E28" r:id="rId14" xr:uid="{49E6816F-D9ED-4F9B-913C-D725F62054AB}"/>
    <hyperlink ref="E29" r:id="rId15" xr:uid="{49EA09FC-2607-42DB-916C-8106522960E7}"/>
    <hyperlink ref="E30" r:id="rId16" xr:uid="{4B471CBB-1D3D-41AA-A09D-422240B9B139}"/>
    <hyperlink ref="E31:E35" r:id="rId17" display="A13" xr:uid="{8AF7CBD8-BE7A-4D9A-899D-36E448C9D2FB}"/>
    <hyperlink ref="E36" r:id="rId18" xr:uid="{79246619-688E-455D-A051-1AA7EB038FBA}"/>
    <hyperlink ref="E39" r:id="rId19" xr:uid="{9455A8BC-54DE-42D0-8AB2-06A82FEBEA97}"/>
    <hyperlink ref="E37" r:id="rId20" xr:uid="{3B19E69D-E0E6-47DF-9CC1-729444DE82BD}"/>
    <hyperlink ref="E38" r:id="rId21" xr:uid="{149D3098-FEAE-42A3-8D3E-B185D9E7D6FD}"/>
    <hyperlink ref="E22" r:id="rId22" xr:uid="{D77913A2-9EEC-4C57-8AE4-2C1A4FA186CD}"/>
    <hyperlink ref="E11" r:id="rId23" xr:uid="{067B4601-831B-469E-A562-FB6FE60D173E}"/>
    <hyperlink ref="E43" r:id="rId24" xr:uid="{7461A8CE-CA08-41C5-8185-F018F357F48C}"/>
    <hyperlink ref="E44" r:id="rId25" xr:uid="{97F7C466-50F2-41EC-BE82-35373358F1F2}"/>
    <hyperlink ref="E45" r:id="rId26" xr:uid="{94540EC1-2F87-4546-B6D4-FF4BE310E74E}"/>
    <hyperlink ref="E46" r:id="rId27" xr:uid="{2BE17CE1-2187-4311-AF9F-0731FF7782C9}"/>
    <hyperlink ref="E47" r:id="rId28" xr:uid="{D5BB8753-2BFC-4818-9FEC-E0C04D70B1D7}"/>
    <hyperlink ref="E52" r:id="rId29" xr:uid="{9CA1A970-8799-41EF-89A5-0081EAC501EA}"/>
    <hyperlink ref="E53" r:id="rId30" xr:uid="{6F2795BD-BB0D-438D-B7BB-222A93C68577}"/>
    <hyperlink ref="E55" r:id="rId31" xr:uid="{513A4A2C-4C7D-4F7A-948C-F0CCAA5A36FA}"/>
    <hyperlink ref="E56" r:id="rId32" xr:uid="{17893573-9FC8-4721-9FA2-A3C605CB4D4D}"/>
    <hyperlink ref="E58" r:id="rId33" xr:uid="{B729093E-1685-47D5-B83B-E9575F476D18}"/>
    <hyperlink ref="E59" r:id="rId34" xr:uid="{DF90A7A9-5CED-4452-878E-5243A6783A64}"/>
    <hyperlink ref="E60" r:id="rId35" xr:uid="{ACCEE0E5-D83B-47A3-8E69-BB9A702FBBB2}"/>
    <hyperlink ref="E62" r:id="rId36" xr:uid="{A57FADA2-D8B4-4479-ADBA-812FF9EEA8B4}"/>
    <hyperlink ref="E63" r:id="rId37" xr:uid="{76637D6C-E3F8-4611-A877-6A9CEDD661D2}"/>
    <hyperlink ref="E64" r:id="rId38" xr:uid="{338C57B5-D1EA-4FCE-8F26-856512707E22}"/>
    <hyperlink ref="E65" r:id="rId39" xr:uid="{0CA901DC-6879-4F73-B255-D591E4647B69}"/>
    <hyperlink ref="E66" r:id="rId40" xr:uid="{5BDB4355-71E7-4BF4-8CE0-1A68DDFB2DB2}"/>
    <hyperlink ref="E67" r:id="rId41" xr:uid="{C5AF7531-6C6D-458F-8AE1-5D66EE53832A}"/>
    <hyperlink ref="E68" r:id="rId42" xr:uid="{F0F32352-CF58-4D06-AEA4-238F02D1369B}"/>
  </hyperlinks>
  <printOptions horizontalCentered="1"/>
  <pageMargins left="0.11811023622047245" right="0.11811023622047245" top="0.35433070866141736" bottom="0.35433070866141736" header="0.31496062992125984" footer="0.31496062992125984"/>
  <pageSetup paperSize="8" scale="85" orientation="landscape" r:id="rId43"/>
  <drawing r:id="rId44"/>
  <legacyDrawing r:id="rId4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463B5-A995-4CD5-9B38-2BC2F39147C1}">
  <dimension ref="A1:IG87"/>
  <sheetViews>
    <sheetView zoomScale="98" zoomScaleNormal="98" zoomScaleSheetLayoutView="90" workbookViewId="0">
      <pane xSplit="7" ySplit="4" topLeftCell="H5" activePane="bottomRight" state="frozen"/>
      <selection pane="topRight" activeCell="G1" sqref="G1"/>
      <selection pane="bottomLeft" activeCell="A5" sqref="A5"/>
      <selection pane="bottomRight" activeCell="S10" sqref="S10"/>
    </sheetView>
  </sheetViews>
  <sheetFormatPr defaultRowHeight="13.5" x14ac:dyDescent="0.35"/>
  <cols>
    <col min="1" max="1" width="3.4375" customWidth="1"/>
    <col min="2" max="2" width="14.75" style="47" hidden="1" customWidth="1"/>
    <col min="3" max="3" width="10.8125" style="38" hidden="1" customWidth="1"/>
    <col min="4" max="4" width="10.3125" hidden="1" customWidth="1"/>
    <col min="5" max="5" width="6.5" style="409" customWidth="1"/>
    <col min="6" max="6" width="1.75" customWidth="1"/>
    <col min="7" max="7" width="31.0625" customWidth="1"/>
    <col min="8" max="8" width="9.3125" style="464" hidden="1" customWidth="1"/>
    <col min="9" max="9" width="9.0625" style="465" hidden="1" customWidth="1"/>
    <col min="10" max="10" width="7.75" style="464" hidden="1" customWidth="1"/>
    <col min="11" max="11" width="12" style="465" hidden="1" customWidth="1"/>
    <col min="12" max="12" width="12.75" style="30" customWidth="1"/>
    <col min="13" max="13" width="14.0625" style="44" hidden="1" customWidth="1"/>
    <col min="14" max="14" width="6.75" customWidth="1"/>
    <col min="15" max="15" width="10.0625" style="32" bestFit="1" customWidth="1"/>
    <col min="16" max="16" width="8.5625" style="38" bestFit="1" customWidth="1"/>
    <col min="17" max="17" width="7.5" bestFit="1" customWidth="1"/>
    <col min="18" max="18" width="8.5" hidden="1" customWidth="1"/>
    <col min="19" max="19" width="50.3125" style="32" customWidth="1"/>
    <col min="20" max="20" width="6.1875" customWidth="1"/>
    <col min="21" max="21" width="9" customWidth="1"/>
  </cols>
  <sheetData>
    <row r="1" spans="1:241" s="3" customFormat="1" ht="21.7" customHeight="1" x14ac:dyDescent="0.35">
      <c r="B1" s="45">
        <f>(18990)*105%</f>
        <v>19939.5</v>
      </c>
      <c r="C1" s="394">
        <f>80000/6</f>
        <v>13333.333333333334</v>
      </c>
      <c r="D1" s="699" t="s">
        <v>0</v>
      </c>
      <c r="E1" s="699"/>
      <c r="F1" s="699"/>
      <c r="G1" s="699"/>
      <c r="H1" s="699"/>
      <c r="I1" s="699"/>
      <c r="J1" s="699"/>
      <c r="K1" s="699"/>
      <c r="L1" s="699"/>
      <c r="M1" s="699"/>
      <c r="N1" s="699"/>
      <c r="O1" s="699"/>
      <c r="P1" s="699"/>
      <c r="Q1" s="699"/>
      <c r="R1" s="699"/>
      <c r="S1" s="699"/>
      <c r="T1" s="699"/>
      <c r="U1" s="699"/>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row>
    <row r="2" spans="1:241" s="3" customFormat="1" ht="8.5500000000000007" customHeight="1" thickBot="1" x14ac:dyDescent="0.4">
      <c r="B2" s="45"/>
      <c r="C2" s="394"/>
      <c r="D2" s="1"/>
      <c r="E2" s="407"/>
      <c r="F2" s="1"/>
      <c r="G2" s="1"/>
      <c r="H2" s="1"/>
      <c r="I2" s="29"/>
      <c r="J2" s="1"/>
      <c r="K2" s="29"/>
      <c r="L2" s="29"/>
      <c r="M2" s="40"/>
      <c r="N2" s="1"/>
      <c r="O2" s="31"/>
      <c r="P2" s="37"/>
      <c r="Q2" s="1"/>
      <c r="R2" s="1"/>
      <c r="S2" s="31"/>
      <c r="T2" s="1"/>
      <c r="U2" s="1"/>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row>
    <row r="3" spans="1:241" s="4" customFormat="1" ht="24" customHeight="1" thickTop="1" x14ac:dyDescent="0.3">
      <c r="B3" s="600"/>
      <c r="C3" s="395"/>
      <c r="D3" s="673" t="s">
        <v>1</v>
      </c>
      <c r="E3" s="700" t="s">
        <v>2</v>
      </c>
      <c r="F3" s="673" t="s">
        <v>3</v>
      </c>
      <c r="G3" s="673"/>
      <c r="H3" s="701" t="s">
        <v>4</v>
      </c>
      <c r="I3" s="702"/>
      <c r="J3" s="702"/>
      <c r="K3" s="702"/>
      <c r="L3" s="711" t="s">
        <v>5</v>
      </c>
      <c r="M3" s="711"/>
      <c r="N3" s="712"/>
      <c r="O3" s="703" t="s">
        <v>6</v>
      </c>
      <c r="P3" s="704"/>
      <c r="Q3" s="704"/>
      <c r="R3" s="704"/>
      <c r="S3" s="705"/>
      <c r="T3" s="706" t="s">
        <v>669</v>
      </c>
      <c r="U3" s="707"/>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row>
    <row r="4" spans="1:241" s="4" customFormat="1" ht="28.05" customHeight="1" x14ac:dyDescent="0.3">
      <c r="B4" s="600"/>
      <c r="C4" s="395"/>
      <c r="D4" s="673"/>
      <c r="E4" s="700"/>
      <c r="F4" s="673"/>
      <c r="G4" s="673"/>
      <c r="H4" s="701"/>
      <c r="I4" s="702"/>
      <c r="J4" s="702"/>
      <c r="K4" s="702"/>
      <c r="L4" s="50" t="s">
        <v>8</v>
      </c>
      <c r="M4" s="39" t="s">
        <v>9</v>
      </c>
      <c r="N4" s="17" t="s">
        <v>10</v>
      </c>
      <c r="O4" s="26" t="s">
        <v>11</v>
      </c>
      <c r="P4" s="25" t="s">
        <v>12</v>
      </c>
      <c r="Q4" s="17" t="s">
        <v>13</v>
      </c>
      <c r="R4" s="17" t="s">
        <v>14</v>
      </c>
      <c r="S4" s="427" t="s">
        <v>15</v>
      </c>
      <c r="T4" s="18" t="s">
        <v>16</v>
      </c>
      <c r="U4" s="19" t="s">
        <v>17</v>
      </c>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row>
    <row r="5" spans="1:241" s="4" customFormat="1" ht="19.05" customHeight="1" x14ac:dyDescent="0.3">
      <c r="A5" s="532"/>
      <c r="B5" s="600"/>
      <c r="C5" s="395"/>
      <c r="D5" s="668" t="s">
        <v>18</v>
      </c>
      <c r="E5" s="669"/>
      <c r="F5" s="669"/>
      <c r="G5" s="708"/>
      <c r="H5" s="444"/>
      <c r="I5" s="445"/>
      <c r="J5" s="446"/>
      <c r="K5" s="447"/>
      <c r="L5" s="406">
        <f>SUM(L6,L9:L14,L20,L23,L27:L31,L36:L39)</f>
        <v>83953200</v>
      </c>
      <c r="M5" s="406">
        <f>SUM(M6,M9:M14,M20,M23,M27:M31,M36:M39)</f>
        <v>38792696.283333339</v>
      </c>
      <c r="N5" s="488">
        <f>IFERROR(M5/L5-1,1)</f>
        <v>-0.53792474517548661</v>
      </c>
      <c r="O5" s="51">
        <f>SUM(O6,O9:O14,O20,O23,O27:O31,O36:O39)</f>
        <v>83608454.375</v>
      </c>
      <c r="P5" s="487">
        <f t="shared" ref="P5:P68" si="0">O5-L5</f>
        <v>-344745.625</v>
      </c>
      <c r="Q5" s="488">
        <f>IFERROR(O5/L5-1,1)</f>
        <v>-4.1064024361191498E-3</v>
      </c>
      <c r="R5" s="489" t="str">
        <f t="shared" ref="R5:R68" si="1">IF(O5&gt;L5,"เพิ่มขึ้น",IF(O5&lt;L5,"ลดลง",IF(O5=L5,"--")))</f>
        <v>ลดลง</v>
      </c>
      <c r="S5" s="490" t="s">
        <v>19</v>
      </c>
      <c r="T5" s="27">
        <f>SUM(T14,T23,T37,T38)</f>
        <v>12</v>
      </c>
      <c r="U5" s="406">
        <f>SUM(U6,U9:U14,U20,U23,U27:U31,U36:U39)</f>
        <v>103563089.375</v>
      </c>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row>
    <row r="6" spans="1:241" s="4" customFormat="1" ht="20.2" customHeight="1" x14ac:dyDescent="0.3">
      <c r="B6" s="600"/>
      <c r="C6" s="395"/>
      <c r="D6" s="530" t="s">
        <v>20</v>
      </c>
      <c r="E6" s="531"/>
      <c r="F6" s="709" t="s">
        <v>21</v>
      </c>
      <c r="G6" s="710"/>
      <c r="H6" s="643" t="s">
        <v>22</v>
      </c>
      <c r="I6" s="644"/>
      <c r="J6" s="644"/>
      <c r="K6" s="644"/>
      <c r="L6" s="402">
        <f>SUM(L7:L8)</f>
        <v>5950000</v>
      </c>
      <c r="M6" s="410">
        <f>SUM(M7:M8)</f>
        <v>3752559.21</v>
      </c>
      <c r="N6" s="422">
        <f t="shared" ref="N6:N68" si="2">IFERROR(M6/L6-1,1)</f>
        <v>-0.36931777983193281</v>
      </c>
      <c r="O6" s="52">
        <f>SUM(O8:O8)</f>
        <v>6200000</v>
      </c>
      <c r="P6" s="425">
        <f t="shared" si="0"/>
        <v>250000</v>
      </c>
      <c r="Q6" s="422">
        <f>IFERROR(O6/L6-1,1)</f>
        <v>4.2016806722689148E-2</v>
      </c>
      <c r="R6" s="426" t="str">
        <f t="shared" si="1"/>
        <v>เพิ่มขึ้น</v>
      </c>
      <c r="S6" s="433" t="s">
        <v>23</v>
      </c>
      <c r="T6" s="6" t="s">
        <v>24</v>
      </c>
      <c r="U6" s="7">
        <v>0</v>
      </c>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row>
    <row r="7" spans="1:241" s="4" customFormat="1" ht="46.5" customHeight="1" x14ac:dyDescent="0.3">
      <c r="B7" s="387"/>
      <c r="C7" s="395" t="s">
        <v>25</v>
      </c>
      <c r="D7" s="377" t="str">
        <f>'สรุปใช้งบ 31กค'!B11</f>
        <v>5020102000</v>
      </c>
      <c r="E7" s="501" t="s">
        <v>26</v>
      </c>
      <c r="F7" s="398"/>
      <c r="G7" s="20" t="s">
        <v>27</v>
      </c>
      <c r="H7" s="647" t="s">
        <v>28</v>
      </c>
      <c r="I7" s="648"/>
      <c r="J7" s="648"/>
      <c r="K7" s="649"/>
      <c r="L7" s="428">
        <f>'สรุปใช้งบ 31กค'!H11</f>
        <v>310000</v>
      </c>
      <c r="M7" s="42">
        <f>'สรุปใช้งบ 31กค'!L11</f>
        <v>263759.21000000002</v>
      </c>
      <c r="N7" s="423">
        <f t="shared" si="2"/>
        <v>-0.14916383870967731</v>
      </c>
      <c r="O7" s="53">
        <f>[1]คำขอ2570!$F$8</f>
        <v>890000</v>
      </c>
      <c r="P7" s="421">
        <f t="shared" si="0"/>
        <v>580000</v>
      </c>
      <c r="Q7" s="423">
        <f t="shared" ref="Q7:Q70" si="3">IFERROR(O7/L7-1,1)</f>
        <v>1.870967741935484</v>
      </c>
      <c r="R7" s="49" t="str">
        <f t="shared" si="1"/>
        <v>เพิ่มขึ้น</v>
      </c>
      <c r="S7" s="419" t="s">
        <v>652</v>
      </c>
      <c r="T7" s="8" t="s">
        <v>24</v>
      </c>
      <c r="U7" s="9">
        <v>0</v>
      </c>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row>
    <row r="8" spans="1:241" s="4" customFormat="1" ht="38.549999999999997" customHeight="1" x14ac:dyDescent="0.3">
      <c r="B8" s="387" t="s">
        <v>29</v>
      </c>
      <c r="C8" s="395" t="s">
        <v>25</v>
      </c>
      <c r="D8" s="377" t="str">
        <f>'สรุปใช้งบ 31กค'!B12</f>
        <v>5020104000</v>
      </c>
      <c r="E8" s="501" t="s">
        <v>30</v>
      </c>
      <c r="F8" s="398"/>
      <c r="G8" s="21" t="s">
        <v>31</v>
      </c>
      <c r="H8" s="647" t="s">
        <v>32</v>
      </c>
      <c r="I8" s="648"/>
      <c r="J8" s="648"/>
      <c r="K8" s="649"/>
      <c r="L8" s="428">
        <f>'สรุปใช้งบ 31กค'!H12</f>
        <v>5640000</v>
      </c>
      <c r="M8" s="42">
        <f>'สรุปใช้งบ 31กค'!L12</f>
        <v>3488800</v>
      </c>
      <c r="N8" s="423">
        <f t="shared" si="2"/>
        <v>-0.38141843971631206</v>
      </c>
      <c r="O8" s="53">
        <f>'[2]2570new'!$D$21</f>
        <v>6200000</v>
      </c>
      <c r="P8" s="421">
        <f t="shared" si="0"/>
        <v>560000</v>
      </c>
      <c r="Q8" s="423">
        <f t="shared" si="3"/>
        <v>9.9290780141843893E-2</v>
      </c>
      <c r="R8" s="49" t="str">
        <f t="shared" si="1"/>
        <v>เพิ่มขึ้น</v>
      </c>
      <c r="S8" s="420" t="s">
        <v>653</v>
      </c>
      <c r="T8" s="8" t="s">
        <v>24</v>
      </c>
      <c r="U8" s="9">
        <v>0</v>
      </c>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row>
    <row r="9" spans="1:241" s="4" customFormat="1" ht="34.049999999999997" customHeight="1" x14ac:dyDescent="0.3">
      <c r="B9" s="470" t="s">
        <v>33</v>
      </c>
      <c r="C9" s="395"/>
      <c r="D9" s="377" t="str">
        <f>'สรุปใช้งบ 31กค'!B13</f>
        <v>5020305000</v>
      </c>
      <c r="E9" s="501" t="s">
        <v>34</v>
      </c>
      <c r="F9" s="671" t="s">
        <v>35</v>
      </c>
      <c r="G9" s="672"/>
      <c r="H9" s="713" t="s">
        <v>36</v>
      </c>
      <c r="I9" s="714"/>
      <c r="J9" s="714"/>
      <c r="K9" s="714"/>
      <c r="L9" s="429">
        <f>'สรุปใช้งบ 31กค'!H13</f>
        <v>6650000</v>
      </c>
      <c r="M9" s="41">
        <f>'สรุปใช้งบ 31กค'!$L$13</f>
        <v>2100323.85</v>
      </c>
      <c r="N9" s="418">
        <f t="shared" si="2"/>
        <v>-0.68416182706766915</v>
      </c>
      <c r="O9" s="52">
        <f>'[3]1. ต่างสำนักงาน  Rate ปี 70'!$F$20</f>
        <v>4380000</v>
      </c>
      <c r="P9" s="413">
        <f t="shared" si="0"/>
        <v>-2270000</v>
      </c>
      <c r="Q9" s="418">
        <f t="shared" si="3"/>
        <v>-0.34135338345864663</v>
      </c>
      <c r="R9" s="426" t="str">
        <f t="shared" si="1"/>
        <v>ลดลง</v>
      </c>
      <c r="S9" s="415" t="s">
        <v>37</v>
      </c>
      <c r="T9" s="13" t="s">
        <v>24</v>
      </c>
      <c r="U9" s="14">
        <v>0</v>
      </c>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row>
    <row r="10" spans="1:241" s="4" customFormat="1" ht="48" customHeight="1" x14ac:dyDescent="0.3">
      <c r="B10" s="432" t="s">
        <v>38</v>
      </c>
      <c r="C10" s="15"/>
      <c r="D10" s="377">
        <f>'สรุปใช้งบ 31กค'!B14</f>
        <v>5020304000</v>
      </c>
      <c r="E10" s="501" t="s">
        <v>39</v>
      </c>
      <c r="F10" s="626" t="s">
        <v>40</v>
      </c>
      <c r="G10" s="627"/>
      <c r="H10" s="654" t="s">
        <v>41</v>
      </c>
      <c r="I10" s="643"/>
      <c r="J10" s="643"/>
      <c r="K10" s="643"/>
      <c r="L10" s="378">
        <f>'สรุปใช้งบ 31กค'!H14</f>
        <v>457900</v>
      </c>
      <c r="M10" s="41">
        <f>'สรุปใช้งบ 31กค'!$L$14</f>
        <v>443910.80000000005</v>
      </c>
      <c r="N10" s="422">
        <f t="shared" si="2"/>
        <v>-3.0550775278444964E-2</v>
      </c>
      <c r="O10" s="54">
        <v>1204490</v>
      </c>
      <c r="P10" s="425">
        <f t="shared" si="0"/>
        <v>746590</v>
      </c>
      <c r="Q10" s="422">
        <f t="shared" si="3"/>
        <v>1.6304651670670451</v>
      </c>
      <c r="R10" s="467" t="str">
        <f t="shared" si="1"/>
        <v>เพิ่มขึ้น</v>
      </c>
      <c r="S10" s="433" t="s">
        <v>651</v>
      </c>
      <c r="T10" s="6" t="s">
        <v>24</v>
      </c>
      <c r="U10" s="7">
        <v>0</v>
      </c>
      <c r="V10" s="5"/>
      <c r="W10" s="5"/>
      <c r="X10" s="526" t="s">
        <v>665</v>
      </c>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row>
    <row r="11" spans="1:241" s="4" customFormat="1" ht="25.5" customHeight="1" x14ac:dyDescent="0.3">
      <c r="B11" s="46"/>
      <c r="C11" s="395" t="s">
        <v>25</v>
      </c>
      <c r="D11" s="435" t="str">
        <f>'สรุปใช้งบ 31กค'!B15</f>
        <v>5020306000</v>
      </c>
      <c r="E11" s="501" t="s">
        <v>42</v>
      </c>
      <c r="F11" s="626" t="s">
        <v>654</v>
      </c>
      <c r="G11" s="627"/>
      <c r="H11" s="654" t="s">
        <v>43</v>
      </c>
      <c r="I11" s="643"/>
      <c r="J11" s="643"/>
      <c r="K11" s="643"/>
      <c r="L11" s="381">
        <v>0</v>
      </c>
      <c r="M11" s="307">
        <v>0</v>
      </c>
      <c r="N11" s="422">
        <f t="shared" si="2"/>
        <v>1</v>
      </c>
      <c r="O11" s="52">
        <f>'[4]ค่าเช่าชุดสูท 70'!$E$9</f>
        <v>50000</v>
      </c>
      <c r="P11" s="425">
        <f t="shared" si="0"/>
        <v>50000</v>
      </c>
      <c r="Q11" s="422">
        <f t="shared" si="3"/>
        <v>1</v>
      </c>
      <c r="R11" s="467" t="str">
        <f t="shared" si="1"/>
        <v>เพิ่มขึ้น</v>
      </c>
      <c r="S11" s="433" t="s">
        <v>636</v>
      </c>
      <c r="T11" s="6" t="s">
        <v>24</v>
      </c>
      <c r="U11" s="7">
        <v>0</v>
      </c>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row>
    <row r="12" spans="1:241" s="4" customFormat="1" ht="21.7" customHeight="1" x14ac:dyDescent="0.3">
      <c r="B12" s="600"/>
      <c r="C12" s="395" t="s">
        <v>25</v>
      </c>
      <c r="D12" s="377" t="str">
        <f>'สรุปใช้งบ 31กค'!B15</f>
        <v>5020306000</v>
      </c>
      <c r="E12" s="501" t="s">
        <v>44</v>
      </c>
      <c r="F12" s="626" t="s">
        <v>45</v>
      </c>
      <c r="G12" s="627"/>
      <c r="H12" s="643" t="s">
        <v>46</v>
      </c>
      <c r="I12" s="644"/>
      <c r="J12" s="644"/>
      <c r="K12" s="644"/>
      <c r="L12" s="378">
        <f>'สรุปใช้งบ 31กค'!H15</f>
        <v>165000</v>
      </c>
      <c r="M12" s="41">
        <f>'สรุปใช้งบ 31กค'!$L$15</f>
        <v>26800.35</v>
      </c>
      <c r="N12" s="418">
        <f t="shared" si="2"/>
        <v>-0.83757363636363635</v>
      </c>
      <c r="O12" s="52">
        <f>'[5]2570'!$H$13</f>
        <v>145000</v>
      </c>
      <c r="P12" s="413">
        <f t="shared" si="0"/>
        <v>-20000</v>
      </c>
      <c r="Q12" s="418">
        <f t="shared" si="3"/>
        <v>-0.12121212121212122</v>
      </c>
      <c r="R12" s="426" t="str">
        <f t="shared" si="1"/>
        <v>ลดลง</v>
      </c>
      <c r="S12" s="434" t="s">
        <v>47</v>
      </c>
      <c r="T12" s="6" t="s">
        <v>24</v>
      </c>
      <c r="U12" s="7">
        <v>0</v>
      </c>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row>
    <row r="13" spans="1:241" s="4" customFormat="1" ht="26.55" customHeight="1" x14ac:dyDescent="0.3">
      <c r="B13" s="600"/>
      <c r="C13" s="395" t="s">
        <v>25</v>
      </c>
      <c r="D13" s="377" t="str">
        <f>'สรุปใช้งบ 31กค'!B16</f>
        <v>5020402000</v>
      </c>
      <c r="E13" s="501" t="s">
        <v>48</v>
      </c>
      <c r="F13" s="628" t="s">
        <v>49</v>
      </c>
      <c r="G13" s="629"/>
      <c r="H13" s="645" t="s">
        <v>50</v>
      </c>
      <c r="I13" s="646"/>
      <c r="J13" s="646"/>
      <c r="K13" s="646"/>
      <c r="L13" s="378">
        <f>'สรุปใช้งบ 31กค'!H16</f>
        <v>1522500</v>
      </c>
      <c r="M13" s="41">
        <f>'สรุปใช้งบ 31กค'!$L$16</f>
        <v>257470.88999999998</v>
      </c>
      <c r="N13" s="417">
        <f t="shared" si="2"/>
        <v>-0.83088939901477832</v>
      </c>
      <c r="O13" s="52">
        <f>'[26]2570'!$H$15</f>
        <v>1522500</v>
      </c>
      <c r="P13" s="411">
        <f t="shared" si="0"/>
        <v>0</v>
      </c>
      <c r="Q13" s="527">
        <f t="shared" si="3"/>
        <v>0</v>
      </c>
      <c r="R13" s="426" t="str">
        <f t="shared" si="1"/>
        <v>--</v>
      </c>
      <c r="S13" s="436" t="s">
        <v>51</v>
      </c>
      <c r="T13" s="6" t="s">
        <v>24</v>
      </c>
      <c r="U13" s="7">
        <v>0</v>
      </c>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row>
    <row r="14" spans="1:241" s="5" customFormat="1" ht="23.55" customHeight="1" x14ac:dyDescent="0.35">
      <c r="B14" s="600"/>
      <c r="C14" s="603" t="s">
        <v>25</v>
      </c>
      <c r="D14" s="677" t="str">
        <f>'สรุปใช้งบ 31กค'!B17</f>
        <v>5031116000</v>
      </c>
      <c r="E14" s="683" t="s">
        <v>52</v>
      </c>
      <c r="F14" s="630" t="s">
        <v>53</v>
      </c>
      <c r="G14" s="631"/>
      <c r="H14" s="643" t="s">
        <v>54</v>
      </c>
      <c r="I14" s="644"/>
      <c r="J14" s="644"/>
      <c r="K14" s="644"/>
      <c r="L14" s="378">
        <f>SUM(L15:L19)</f>
        <v>55490000</v>
      </c>
      <c r="M14" s="41">
        <f>SUM(M15:M19)</f>
        <v>25990271.513333336</v>
      </c>
      <c r="N14" s="422">
        <f t="shared" si="2"/>
        <v>-0.53162242722412445</v>
      </c>
      <c r="O14" s="52">
        <f>SUM(O15:O19)</f>
        <v>59880600</v>
      </c>
      <c r="P14" s="425">
        <f t="shared" si="0"/>
        <v>4390600</v>
      </c>
      <c r="Q14" s="422">
        <f t="shared" si="3"/>
        <v>7.9124166516489458E-2</v>
      </c>
      <c r="R14" s="467" t="str">
        <f t="shared" si="1"/>
        <v>เพิ่มขึ้น</v>
      </c>
      <c r="S14" s="439" t="s">
        <v>55</v>
      </c>
      <c r="T14" s="6">
        <v>5</v>
      </c>
      <c r="U14" s="7">
        <f>SUM(U15:U19)</f>
        <v>101283400</v>
      </c>
    </row>
    <row r="15" spans="1:241" s="4" customFormat="1" ht="20.2" customHeight="1" x14ac:dyDescent="0.3">
      <c r="B15" s="600"/>
      <c r="C15" s="603"/>
      <c r="D15" s="678"/>
      <c r="E15" s="684"/>
      <c r="F15" s="632"/>
      <c r="G15" s="633"/>
      <c r="H15" s="649" t="s">
        <v>56</v>
      </c>
      <c r="I15" s="648"/>
      <c r="J15" s="648"/>
      <c r="K15" s="648"/>
      <c r="L15" s="379">
        <f>Dataผลพิปี69!U31</f>
        <v>25020000</v>
      </c>
      <c r="M15" s="42">
        <f>'[7]กลุ่ม 1'!$H$25</f>
        <v>13844752.41</v>
      </c>
      <c r="N15" s="423">
        <f t="shared" si="2"/>
        <v>-0.44665258153477216</v>
      </c>
      <c r="O15" s="53">
        <f>'[25]Template OS-2570 '!$AU$10+'[25]Template OS-2570 '!$AU$11+'[25]Template OS-2570 '!$AU$12</f>
        <v>30297600</v>
      </c>
      <c r="P15" s="421">
        <f t="shared" si="0"/>
        <v>5277600</v>
      </c>
      <c r="Q15" s="423">
        <f t="shared" si="3"/>
        <v>0.21093525179856121</v>
      </c>
      <c r="R15" s="424" t="str">
        <f t="shared" si="1"/>
        <v>เพิ่มขึ้น</v>
      </c>
      <c r="S15" s="658" t="s">
        <v>57</v>
      </c>
      <c r="T15" s="443">
        <v>1</v>
      </c>
      <c r="U15" s="9">
        <f>'[25]Template OS-2570 '!$BK$12</f>
        <v>76479500</v>
      </c>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row>
    <row r="16" spans="1:241" s="4" customFormat="1" ht="20.2" customHeight="1" x14ac:dyDescent="0.3">
      <c r="B16" s="600"/>
      <c r="C16" s="603"/>
      <c r="D16" s="678"/>
      <c r="E16" s="684"/>
      <c r="F16" s="632"/>
      <c r="G16" s="633"/>
      <c r="H16" s="649" t="s">
        <v>58</v>
      </c>
      <c r="I16" s="648"/>
      <c r="J16" s="648"/>
      <c r="K16" s="648"/>
      <c r="L16" s="379">
        <f>Dataผลพิปี69!U32</f>
        <v>6100000</v>
      </c>
      <c r="M16" s="42">
        <f>[7]กลุ่ม2!$H$43</f>
        <v>3041731.2800000003</v>
      </c>
      <c r="N16" s="466">
        <f t="shared" si="2"/>
        <v>-0.5013555278688524</v>
      </c>
      <c r="O16" s="53">
        <f>'[25]Template OS-2570 '!$AU$14</f>
        <v>5243500</v>
      </c>
      <c r="P16" s="414">
        <f t="shared" si="0"/>
        <v>-856500</v>
      </c>
      <c r="Q16" s="466">
        <f t="shared" si="3"/>
        <v>-0.14040983606557378</v>
      </c>
      <c r="R16" s="442" t="str">
        <f t="shared" si="1"/>
        <v>ลดลง</v>
      </c>
      <c r="S16" s="659"/>
      <c r="T16" s="443">
        <v>1</v>
      </c>
      <c r="U16" s="9">
        <f>'[25]Template OS-2570 '!$BK$14</f>
        <v>4372900</v>
      </c>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row>
    <row r="17" spans="2:241" s="4" customFormat="1" ht="20.2" customHeight="1" x14ac:dyDescent="0.3">
      <c r="B17" s="600"/>
      <c r="C17" s="603" t="s">
        <v>25</v>
      </c>
      <c r="D17" s="678"/>
      <c r="E17" s="683" t="s">
        <v>59</v>
      </c>
      <c r="F17" s="632"/>
      <c r="G17" s="633"/>
      <c r="H17" s="695" t="s">
        <v>60</v>
      </c>
      <c r="I17" s="696"/>
      <c r="J17" s="696"/>
      <c r="K17" s="696"/>
      <c r="L17" s="379">
        <f>Dataผลพิปี69!U33</f>
        <v>6170000</v>
      </c>
      <c r="M17" s="42">
        <f>[9]กลุ่ม3!$H$43</f>
        <v>1942537.4</v>
      </c>
      <c r="N17" s="466">
        <f t="shared" si="2"/>
        <v>-0.68516411669367905</v>
      </c>
      <c r="O17" s="53">
        <f>'[25]Template OS-2570 '!$AU$18</f>
        <v>5458400</v>
      </c>
      <c r="P17" s="414">
        <f t="shared" si="0"/>
        <v>-711600</v>
      </c>
      <c r="Q17" s="466">
        <f t="shared" si="3"/>
        <v>-0.11533225283630466</v>
      </c>
      <c r="R17" s="442" t="str">
        <f t="shared" si="1"/>
        <v>ลดลง</v>
      </c>
      <c r="S17" s="659"/>
      <c r="T17" s="443">
        <v>1</v>
      </c>
      <c r="U17" s="9">
        <f>'[25]Template OS-2570 '!$BK$18</f>
        <v>4688000</v>
      </c>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row>
    <row r="18" spans="2:241" s="4" customFormat="1" ht="20.2" customHeight="1" x14ac:dyDescent="0.3">
      <c r="B18" s="441"/>
      <c r="C18" s="603"/>
      <c r="D18" s="678"/>
      <c r="E18" s="684"/>
      <c r="F18" s="632"/>
      <c r="G18" s="633"/>
      <c r="H18" s="649" t="s">
        <v>61</v>
      </c>
      <c r="I18" s="648"/>
      <c r="J18" s="648"/>
      <c r="K18" s="648"/>
      <c r="L18" s="379">
        <f>Dataผลพิปี69!U34</f>
        <v>6200000</v>
      </c>
      <c r="M18" s="42">
        <f>[9]กลุ่ม4!$H$43</f>
        <v>3452552.16</v>
      </c>
      <c r="N18" s="466">
        <f t="shared" si="2"/>
        <v>-0.44313674838709671</v>
      </c>
      <c r="O18" s="53">
        <f>'[25]Template OS-2570 '!$AU$20</f>
        <v>5949500</v>
      </c>
      <c r="P18" s="414">
        <f t="shared" si="0"/>
        <v>-250500</v>
      </c>
      <c r="Q18" s="466">
        <f t="shared" si="3"/>
        <v>-4.0403225806451615E-2</v>
      </c>
      <c r="R18" s="442" t="str">
        <f t="shared" si="1"/>
        <v>ลดลง</v>
      </c>
      <c r="S18" s="656" t="s">
        <v>658</v>
      </c>
      <c r="T18" s="443">
        <v>1</v>
      </c>
      <c r="U18" s="9">
        <f>'[25]Template OS-2570 '!$BK$20</f>
        <v>4961200</v>
      </c>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row>
    <row r="19" spans="2:241" s="4" customFormat="1" ht="36" customHeight="1" x14ac:dyDescent="0.3">
      <c r="B19" s="441"/>
      <c r="C19" s="603"/>
      <c r="D19" s="679"/>
      <c r="E19" s="684"/>
      <c r="F19" s="634"/>
      <c r="G19" s="635"/>
      <c r="H19" s="649" t="s">
        <v>62</v>
      </c>
      <c r="I19" s="648"/>
      <c r="J19" s="648"/>
      <c r="K19" s="648"/>
      <c r="L19" s="379">
        <f>Dataผลพิปี69!U35</f>
        <v>12000000</v>
      </c>
      <c r="M19" s="42">
        <f>[9]กลุ่ม5!$H$53</f>
        <v>3708698.2633333337</v>
      </c>
      <c r="N19" s="423">
        <f t="shared" si="2"/>
        <v>-0.69094181138888888</v>
      </c>
      <c r="O19" s="53">
        <f>'[25]Template OS-2570 '!$AU$24</f>
        <v>12931600</v>
      </c>
      <c r="P19" s="421">
        <f t="shared" si="0"/>
        <v>931600</v>
      </c>
      <c r="Q19" s="423">
        <f t="shared" si="3"/>
        <v>7.7633333333333443E-2</v>
      </c>
      <c r="R19" s="424" t="str">
        <f t="shared" si="1"/>
        <v>เพิ่มขึ้น</v>
      </c>
      <c r="S19" s="657"/>
      <c r="T19" s="443">
        <v>1</v>
      </c>
      <c r="U19" s="9">
        <f>'[25]Template OS-2570 '!$AP$24</f>
        <v>10781800</v>
      </c>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row>
    <row r="20" spans="2:241" s="4" customFormat="1" ht="20.2" customHeight="1" x14ac:dyDescent="0.3">
      <c r="B20" s="387"/>
      <c r="C20" s="395"/>
      <c r="D20" s="377" t="s">
        <v>20</v>
      </c>
      <c r="E20" s="502"/>
      <c r="F20" s="636" t="s">
        <v>63</v>
      </c>
      <c r="G20" s="637"/>
      <c r="H20" s="650" t="s">
        <v>22</v>
      </c>
      <c r="I20" s="651"/>
      <c r="J20" s="651"/>
      <c r="K20" s="651"/>
      <c r="L20" s="380">
        <f>SUM(L21:L22)</f>
        <v>4372900</v>
      </c>
      <c r="M20" s="43">
        <f>SUM(M21:M22)</f>
        <v>2170381</v>
      </c>
      <c r="N20" s="422">
        <f t="shared" si="2"/>
        <v>-0.50367467813121725</v>
      </c>
      <c r="O20" s="54">
        <f>SUM(O21:O22)</f>
        <v>4376900</v>
      </c>
      <c r="P20" s="472">
        <f t="shared" si="0"/>
        <v>4000</v>
      </c>
      <c r="Q20" s="422">
        <f t="shared" si="3"/>
        <v>9.1472478218124209E-4</v>
      </c>
      <c r="R20" s="473" t="str">
        <f t="shared" si="1"/>
        <v>เพิ่มขึ้น</v>
      </c>
      <c r="S20" s="474" t="s">
        <v>655</v>
      </c>
      <c r="T20" s="13" t="s">
        <v>24</v>
      </c>
      <c r="U20" s="14">
        <v>0</v>
      </c>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row>
    <row r="21" spans="2:241" s="4" customFormat="1" ht="33.700000000000003" customHeight="1" x14ac:dyDescent="0.3">
      <c r="B21" s="431" t="s">
        <v>33</v>
      </c>
      <c r="C21" s="15"/>
      <c r="D21" s="377">
        <f>'สรุปใช้งบ 31กค'!B18</f>
        <v>5031120000</v>
      </c>
      <c r="E21" s="501" t="s">
        <v>64</v>
      </c>
      <c r="F21" s="399"/>
      <c r="G21" s="21" t="s">
        <v>65</v>
      </c>
      <c r="H21" s="647" t="s">
        <v>66</v>
      </c>
      <c r="I21" s="648"/>
      <c r="J21" s="648"/>
      <c r="K21" s="649"/>
      <c r="L21" s="379">
        <f>'สรุปใช้งบ 31กค'!$H$18</f>
        <v>31000</v>
      </c>
      <c r="M21" s="42">
        <f>'สรุปใช้งบ 31กค'!$L$18</f>
        <v>24931</v>
      </c>
      <c r="N21" s="423">
        <f t="shared" si="2"/>
        <v>-0.1957741935483871</v>
      </c>
      <c r="O21" s="53">
        <f>'[10]2570'!$C$22</f>
        <v>35000</v>
      </c>
      <c r="P21" s="421">
        <f t="shared" si="0"/>
        <v>4000</v>
      </c>
      <c r="Q21" s="423">
        <f t="shared" si="3"/>
        <v>0.12903225806451624</v>
      </c>
      <c r="R21" s="424" t="str">
        <f t="shared" si="1"/>
        <v>เพิ่มขึ้น</v>
      </c>
      <c r="S21" s="471" t="s">
        <v>656</v>
      </c>
      <c r="T21" s="8" t="s">
        <v>24</v>
      </c>
      <c r="U21" s="9">
        <v>0</v>
      </c>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row>
    <row r="22" spans="2:241" s="4" customFormat="1" ht="20.2" customHeight="1" x14ac:dyDescent="0.3">
      <c r="B22" s="600"/>
      <c r="C22" s="395" t="s">
        <v>67</v>
      </c>
      <c r="D22" s="377" t="str">
        <f>'สรุปใช้งบ 31กค'!B19</f>
        <v>5031143000</v>
      </c>
      <c r="E22" s="501" t="s">
        <v>68</v>
      </c>
      <c r="F22" s="400"/>
      <c r="G22" s="28" t="s">
        <v>69</v>
      </c>
      <c r="H22" s="647" t="s">
        <v>70</v>
      </c>
      <c r="I22" s="648"/>
      <c r="J22" s="648"/>
      <c r="K22" s="649"/>
      <c r="L22" s="379">
        <f>'สรุปใช้งบ 31กค'!$H$19</f>
        <v>4341900</v>
      </c>
      <c r="M22" s="42">
        <f>'สรุปใช้งบ 31กค'!$L$19</f>
        <v>2145450</v>
      </c>
      <c r="N22" s="468">
        <f t="shared" si="2"/>
        <v>-0.50587300490568643</v>
      </c>
      <c r="O22" s="53">
        <f>'[11]2570'!$T$38</f>
        <v>4341900</v>
      </c>
      <c r="P22" s="388">
        <f t="shared" si="0"/>
        <v>0</v>
      </c>
      <c r="Q22" s="529">
        <f t="shared" si="3"/>
        <v>0</v>
      </c>
      <c r="R22" s="49" t="str">
        <f t="shared" si="1"/>
        <v>--</v>
      </c>
      <c r="S22" s="437" t="s">
        <v>657</v>
      </c>
      <c r="T22" s="8" t="s">
        <v>24</v>
      </c>
      <c r="U22" s="9">
        <v>0</v>
      </c>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row>
    <row r="23" spans="2:241" s="4" customFormat="1" ht="20.55" customHeight="1" x14ac:dyDescent="0.3">
      <c r="B23" s="600"/>
      <c r="C23" s="718" t="s">
        <v>25</v>
      </c>
      <c r="D23" s="674">
        <v>5031214000</v>
      </c>
      <c r="E23" s="680" t="s">
        <v>71</v>
      </c>
      <c r="F23" s="638" t="s">
        <v>72</v>
      </c>
      <c r="G23" s="639"/>
      <c r="H23" s="643" t="s">
        <v>73</v>
      </c>
      <c r="I23" s="644"/>
      <c r="J23" s="644"/>
      <c r="K23" s="644"/>
      <c r="L23" s="378">
        <f>SUM(L24:L26)</f>
        <v>6789300</v>
      </c>
      <c r="M23" s="41">
        <f>SUM(M24:M26)</f>
        <v>3394575</v>
      </c>
      <c r="N23" s="418">
        <f t="shared" si="2"/>
        <v>-0.50001104679422026</v>
      </c>
      <c r="O23" s="52">
        <f>SUM(O24:O26)</f>
        <v>1977164.375</v>
      </c>
      <c r="P23" s="413">
        <f t="shared" si="0"/>
        <v>-4812135.625</v>
      </c>
      <c r="Q23" s="418">
        <f t="shared" si="3"/>
        <v>-0.70878229346177068</v>
      </c>
      <c r="R23" s="469" t="str">
        <f t="shared" si="1"/>
        <v>ลดลง</v>
      </c>
      <c r="S23" s="48" t="s">
        <v>74</v>
      </c>
      <c r="T23" s="6">
        <f>SUM(T24:T26)</f>
        <v>2</v>
      </c>
      <c r="U23" s="7">
        <f>SUM(U24:U26)</f>
        <v>2270889.375</v>
      </c>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row>
    <row r="24" spans="2:241" s="4" customFormat="1" ht="25.05" customHeight="1" x14ac:dyDescent="0.3">
      <c r="B24" s="600"/>
      <c r="C24" s="718"/>
      <c r="D24" s="675"/>
      <c r="E24" s="681"/>
      <c r="F24" s="640"/>
      <c r="G24" s="637"/>
      <c r="H24" s="649" t="s">
        <v>75</v>
      </c>
      <c r="I24" s="648"/>
      <c r="J24" s="648"/>
      <c r="K24" s="648"/>
      <c r="L24" s="379">
        <f>'สรุปใช้งบ 31กค'!$I$21</f>
        <v>2263100</v>
      </c>
      <c r="M24" s="42">
        <f>'สรุปใช้งบ 31กค'!$L$21</f>
        <v>1131525</v>
      </c>
      <c r="N24" s="466">
        <f t="shared" si="2"/>
        <v>-0.50001104679422026</v>
      </c>
      <c r="O24" s="53">
        <f>'[12]new 2570'!$E$7</f>
        <v>1844150</v>
      </c>
      <c r="P24" s="414">
        <f t="shared" si="0"/>
        <v>-418950</v>
      </c>
      <c r="Q24" s="466">
        <f t="shared" si="3"/>
        <v>-0.18512217754407667</v>
      </c>
      <c r="R24" s="442" t="str">
        <f t="shared" si="1"/>
        <v>ลดลง</v>
      </c>
      <c r="S24" s="652" t="s">
        <v>660</v>
      </c>
      <c r="T24" s="8">
        <v>1</v>
      </c>
      <c r="U24" s="9">
        <f>'[13]new 2570'!$F$7+'[13]new 2570'!$G$7</f>
        <v>2137875</v>
      </c>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row>
    <row r="25" spans="2:241" s="4" customFormat="1" ht="28.5" customHeight="1" x14ac:dyDescent="0.3">
      <c r="B25" s="600"/>
      <c r="C25" s="718"/>
      <c r="D25" s="675"/>
      <c r="E25" s="681"/>
      <c r="F25" s="640"/>
      <c r="G25" s="637"/>
      <c r="H25" s="649" t="s">
        <v>76</v>
      </c>
      <c r="I25" s="648"/>
      <c r="J25" s="648"/>
      <c r="K25" s="648"/>
      <c r="L25" s="379">
        <f>'สรุปใช้งบ 31กค'!$I$21</f>
        <v>2263100</v>
      </c>
      <c r="M25" s="42">
        <f>'สรุปใช้งบ 31กค'!$L$21</f>
        <v>1131525</v>
      </c>
      <c r="N25" s="466">
        <f t="shared" si="2"/>
        <v>-0.50001104679422026</v>
      </c>
      <c r="O25" s="53">
        <f>'[12]new 2570'!$E$11</f>
        <v>133014.375</v>
      </c>
      <c r="P25" s="414">
        <f t="shared" si="0"/>
        <v>-2130085.625</v>
      </c>
      <c r="Q25" s="466">
        <f t="shared" si="3"/>
        <v>-0.94122470284123549</v>
      </c>
      <c r="R25" s="442" t="str">
        <f t="shared" si="1"/>
        <v>ลดลง</v>
      </c>
      <c r="S25" s="653"/>
      <c r="T25" s="8">
        <v>1</v>
      </c>
      <c r="U25" s="9">
        <f>'[13]new 2570'!$F$11+'[13]new 2570'!$G$11</f>
        <v>133014.375</v>
      </c>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row>
    <row r="26" spans="2:241" s="4" customFormat="1" ht="24.7" customHeight="1" x14ac:dyDescent="0.3">
      <c r="B26" s="600"/>
      <c r="C26" s="718"/>
      <c r="D26" s="676"/>
      <c r="E26" s="682"/>
      <c r="F26" s="641"/>
      <c r="G26" s="642"/>
      <c r="H26" s="649" t="s">
        <v>77</v>
      </c>
      <c r="I26" s="648"/>
      <c r="J26" s="648"/>
      <c r="K26" s="648"/>
      <c r="L26" s="379">
        <f>'สรุปใช้งบ 31กค'!$I$21</f>
        <v>2263100</v>
      </c>
      <c r="M26" s="42">
        <f>'สรุปใช้งบ 31กค'!$L$21</f>
        <v>1131525</v>
      </c>
      <c r="N26" s="466">
        <f t="shared" si="2"/>
        <v>-0.50001104679422026</v>
      </c>
      <c r="O26" s="53">
        <f>'[13]new 2570'!$E$15</f>
        <v>0</v>
      </c>
      <c r="P26" s="414">
        <f t="shared" si="0"/>
        <v>-2263100</v>
      </c>
      <c r="Q26" s="466">
        <f t="shared" si="3"/>
        <v>-1</v>
      </c>
      <c r="R26" s="442" t="str">
        <f t="shared" si="1"/>
        <v>ลดลง</v>
      </c>
      <c r="S26" s="475" t="s">
        <v>661</v>
      </c>
      <c r="T26" s="8" t="s">
        <v>78</v>
      </c>
      <c r="U26" s="9">
        <v>0</v>
      </c>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row>
    <row r="27" spans="2:241" s="4" customFormat="1" ht="29.55" customHeight="1" x14ac:dyDescent="0.3">
      <c r="B27" s="600"/>
      <c r="C27" s="395"/>
      <c r="D27" s="377" t="str">
        <f>'สรุปใช้งบ 31กค'!B31</f>
        <v>5031218000</v>
      </c>
      <c r="E27" s="503" t="s">
        <v>79</v>
      </c>
      <c r="F27" s="715" t="s">
        <v>80</v>
      </c>
      <c r="G27" s="716"/>
      <c r="H27" s="713" t="s">
        <v>81</v>
      </c>
      <c r="I27" s="714"/>
      <c r="J27" s="714"/>
      <c r="K27" s="714"/>
      <c r="L27" s="378">
        <f>'สรุปใช้งบ 31กค'!H31</f>
        <v>147000</v>
      </c>
      <c r="M27" s="41">
        <f>'สรุปใช้งบ 31กค'!L31</f>
        <v>46866</v>
      </c>
      <c r="N27" s="422">
        <f t="shared" si="2"/>
        <v>-0.68118367346938768</v>
      </c>
      <c r="O27" s="52">
        <f>'[14]2570'!$F$16</f>
        <v>195000</v>
      </c>
      <c r="P27" s="425">
        <f t="shared" si="0"/>
        <v>48000</v>
      </c>
      <c r="Q27" s="422">
        <f t="shared" si="3"/>
        <v>0.32653061224489788</v>
      </c>
      <c r="R27" s="473" t="str">
        <f t="shared" si="1"/>
        <v>เพิ่มขึ้น</v>
      </c>
      <c r="S27" s="476" t="s">
        <v>662</v>
      </c>
      <c r="T27" s="6" t="s">
        <v>24</v>
      </c>
      <c r="U27" s="7">
        <v>0</v>
      </c>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row>
    <row r="28" spans="2:241" s="4" customFormat="1" ht="54.5" customHeight="1" x14ac:dyDescent="0.3">
      <c r="B28" s="431" t="s">
        <v>33</v>
      </c>
      <c r="C28" s="395"/>
      <c r="D28" s="377">
        <v>5031219000</v>
      </c>
      <c r="E28" s="503" t="s">
        <v>82</v>
      </c>
      <c r="F28" s="690" t="s">
        <v>83</v>
      </c>
      <c r="G28" s="691"/>
      <c r="H28" s="654" t="s">
        <v>84</v>
      </c>
      <c r="I28" s="643"/>
      <c r="J28" s="643"/>
      <c r="K28" s="643"/>
      <c r="L28" s="378">
        <f>'สรุปใช้งบ 31กค'!H24</f>
        <v>305300</v>
      </c>
      <c r="M28" s="41">
        <f>'สรุปใช้งบ 31กค'!L24</f>
        <v>126239.72</v>
      </c>
      <c r="N28" s="422">
        <f t="shared" si="2"/>
        <v>-0.58650599410415982</v>
      </c>
      <c r="O28" s="52">
        <f>'[15]2570'!$E$8</f>
        <v>1580000</v>
      </c>
      <c r="P28" s="425">
        <f t="shared" si="0"/>
        <v>1274700</v>
      </c>
      <c r="Q28" s="422">
        <f t="shared" si="3"/>
        <v>4.1752374713396661</v>
      </c>
      <c r="R28" s="469" t="str">
        <f t="shared" si="1"/>
        <v>เพิ่มขึ้น</v>
      </c>
      <c r="S28" s="477" t="s">
        <v>659</v>
      </c>
      <c r="T28" s="6" t="s">
        <v>24</v>
      </c>
      <c r="U28" s="7">
        <v>0</v>
      </c>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row>
    <row r="29" spans="2:241" s="4" customFormat="1" ht="29.55" customHeight="1" x14ac:dyDescent="0.3">
      <c r="B29" s="387"/>
      <c r="C29" s="395" t="s">
        <v>67</v>
      </c>
      <c r="D29" s="377" t="str">
        <f>'สรุปใช้งบ 31กค'!B26</f>
        <v>5031138000</v>
      </c>
      <c r="E29" s="503" t="s">
        <v>85</v>
      </c>
      <c r="F29" s="724" t="s">
        <v>86</v>
      </c>
      <c r="G29" s="725"/>
      <c r="H29" s="654" t="s">
        <v>645</v>
      </c>
      <c r="I29" s="643"/>
      <c r="J29" s="643"/>
      <c r="K29" s="643"/>
      <c r="L29" s="378">
        <f>'สรุปใช้งบ 31กค'!H26</f>
        <v>150000</v>
      </c>
      <c r="M29" s="41">
        <f>'สรุปใช้งบ 31กค'!L26</f>
        <v>0</v>
      </c>
      <c r="N29" s="416">
        <f t="shared" si="2"/>
        <v>-1</v>
      </c>
      <c r="O29" s="52">
        <f>'[16]2570'!$D$13</f>
        <v>150000</v>
      </c>
      <c r="P29" s="411">
        <f t="shared" si="0"/>
        <v>0</v>
      </c>
      <c r="Q29" s="528">
        <f t="shared" si="3"/>
        <v>0</v>
      </c>
      <c r="R29" s="469" t="str">
        <f t="shared" si="1"/>
        <v>--</v>
      </c>
      <c r="S29" s="521" t="s">
        <v>666</v>
      </c>
      <c r="T29" s="6" t="s">
        <v>24</v>
      </c>
      <c r="U29" s="7">
        <v>0</v>
      </c>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row>
    <row r="30" spans="2:241" s="4" customFormat="1" ht="28.5" customHeight="1" x14ac:dyDescent="0.3">
      <c r="B30" s="600"/>
      <c r="C30" s="395" t="s">
        <v>67</v>
      </c>
      <c r="D30" s="377" t="str">
        <f>'สรุปใช้งบ 31กค'!B27</f>
        <v>5031144000</v>
      </c>
      <c r="E30" s="503" t="s">
        <v>88</v>
      </c>
      <c r="F30" s="724" t="s">
        <v>89</v>
      </c>
      <c r="G30" s="725"/>
      <c r="H30" s="654" t="s">
        <v>90</v>
      </c>
      <c r="I30" s="643"/>
      <c r="J30" s="643"/>
      <c r="K30" s="643"/>
      <c r="L30" s="378">
        <f>'สรุปใช้งบ 31กค'!H27</f>
        <v>80000</v>
      </c>
      <c r="M30" s="41">
        <f>'สรุปใช้งบ 31กค'!L27</f>
        <v>24068</v>
      </c>
      <c r="N30" s="417">
        <f t="shared" si="2"/>
        <v>-0.69914999999999994</v>
      </c>
      <c r="O30" s="52">
        <f>'[17]2570'!$C$20</f>
        <v>80000</v>
      </c>
      <c r="P30" s="411">
        <f t="shared" si="0"/>
        <v>0</v>
      </c>
      <c r="Q30" s="527">
        <f t="shared" si="3"/>
        <v>0</v>
      </c>
      <c r="R30" s="469" t="str">
        <f t="shared" si="1"/>
        <v>--</v>
      </c>
      <c r="S30" s="440" t="s">
        <v>91</v>
      </c>
      <c r="T30" s="6" t="s">
        <v>24</v>
      </c>
      <c r="U30" s="7">
        <v>0</v>
      </c>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row>
    <row r="31" spans="2:241" s="4" customFormat="1" ht="19.5" customHeight="1" x14ac:dyDescent="0.3">
      <c r="B31" s="600"/>
      <c r="C31" s="603" t="s">
        <v>25</v>
      </c>
      <c r="D31" s="677" t="str">
        <f>'สรุปใช้งบ 31กค'!B28</f>
        <v>5031134000</v>
      </c>
      <c r="E31" s="719" t="s">
        <v>92</v>
      </c>
      <c r="F31" s="709" t="s">
        <v>93</v>
      </c>
      <c r="G31" s="710"/>
      <c r="H31" s="654" t="s">
        <v>94</v>
      </c>
      <c r="I31" s="643"/>
      <c r="J31" s="643"/>
      <c r="K31" s="643"/>
      <c r="L31" s="378">
        <f>SUM(L32:L35)</f>
        <v>1597000</v>
      </c>
      <c r="M31" s="41">
        <f>'สรุปใช้งบ 31กค'!L28</f>
        <v>369502.95</v>
      </c>
      <c r="N31" s="418">
        <f t="shared" si="2"/>
        <v>-0.76862683155917344</v>
      </c>
      <c r="O31" s="52">
        <f>SUM(O32:O35)</f>
        <v>1550000</v>
      </c>
      <c r="P31" s="479">
        <f t="shared" si="0"/>
        <v>-47000</v>
      </c>
      <c r="Q31" s="418">
        <f t="shared" si="3"/>
        <v>-2.9430181590482163E-2</v>
      </c>
      <c r="R31" s="482" t="str">
        <f t="shared" si="1"/>
        <v>ลดลง</v>
      </c>
      <c r="S31" s="483" t="s">
        <v>95</v>
      </c>
      <c r="T31" s="6" t="s">
        <v>24</v>
      </c>
      <c r="U31" s="7">
        <v>0</v>
      </c>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row>
    <row r="32" spans="2:241" s="4" customFormat="1" ht="18.7" customHeight="1" x14ac:dyDescent="0.3">
      <c r="B32" s="600"/>
      <c r="C32" s="603"/>
      <c r="D32" s="678"/>
      <c r="E32" s="720"/>
      <c r="F32" s="729"/>
      <c r="G32" s="730"/>
      <c r="H32" s="655" t="s">
        <v>96</v>
      </c>
      <c r="I32" s="649"/>
      <c r="J32" s="649"/>
      <c r="K32" s="649"/>
      <c r="L32" s="379">
        <f>Dataผลพิปี69!U63</f>
        <v>460000</v>
      </c>
      <c r="M32" s="42" t="s">
        <v>97</v>
      </c>
      <c r="N32" s="423">
        <f t="shared" si="2"/>
        <v>1</v>
      </c>
      <c r="O32" s="53">
        <f>'[18]รวม คชจ.ปี 70'!$C$23</f>
        <v>480000</v>
      </c>
      <c r="P32" s="421">
        <f t="shared" si="0"/>
        <v>20000</v>
      </c>
      <c r="Q32" s="423">
        <f t="shared" si="3"/>
        <v>4.3478260869565188E-2</v>
      </c>
      <c r="R32" s="424" t="str">
        <f t="shared" si="1"/>
        <v>เพิ่มขึ้น</v>
      </c>
      <c r="S32" s="485" t="s">
        <v>98</v>
      </c>
      <c r="T32" s="8" t="s">
        <v>24</v>
      </c>
      <c r="U32" s="9">
        <v>0</v>
      </c>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row>
    <row r="33" spans="2:241" s="4" customFormat="1" ht="18.7" customHeight="1" x14ac:dyDescent="0.3">
      <c r="B33" s="600"/>
      <c r="C33" s="603"/>
      <c r="D33" s="678"/>
      <c r="E33" s="720"/>
      <c r="F33" s="729"/>
      <c r="G33" s="730"/>
      <c r="H33" s="655" t="s">
        <v>99</v>
      </c>
      <c r="I33" s="649"/>
      <c r="J33" s="649"/>
      <c r="K33" s="649"/>
      <c r="L33" s="379">
        <f>Dataผลพิปี69!U64</f>
        <v>587000</v>
      </c>
      <c r="M33" s="42" t="s">
        <v>97</v>
      </c>
      <c r="N33" s="466">
        <f t="shared" si="2"/>
        <v>1</v>
      </c>
      <c r="O33" s="53">
        <f>'[18]รวม คชจ.ปี 70'!$C$24</f>
        <v>500000</v>
      </c>
      <c r="P33" s="414">
        <f t="shared" si="0"/>
        <v>-87000</v>
      </c>
      <c r="Q33" s="466">
        <f t="shared" si="3"/>
        <v>-0.14821124361158433</v>
      </c>
      <c r="R33" s="49" t="str">
        <f t="shared" si="1"/>
        <v>ลดลง</v>
      </c>
      <c r="S33" s="34" t="s">
        <v>100</v>
      </c>
      <c r="T33" s="8" t="s">
        <v>24</v>
      </c>
      <c r="U33" s="9">
        <v>0</v>
      </c>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row>
    <row r="34" spans="2:241" s="4" customFormat="1" ht="18.7" customHeight="1" x14ac:dyDescent="0.3">
      <c r="B34" s="600"/>
      <c r="C34" s="603"/>
      <c r="D34" s="678"/>
      <c r="E34" s="720"/>
      <c r="F34" s="729"/>
      <c r="G34" s="730"/>
      <c r="H34" s="655" t="s">
        <v>101</v>
      </c>
      <c r="I34" s="649"/>
      <c r="J34" s="649"/>
      <c r="K34" s="649"/>
      <c r="L34" s="379">
        <f>Dataผลพิปี69!U65</f>
        <v>400000</v>
      </c>
      <c r="M34" s="42" t="s">
        <v>97</v>
      </c>
      <c r="N34" s="423">
        <f t="shared" si="2"/>
        <v>1</v>
      </c>
      <c r="O34" s="53">
        <f>'[18]รวม คชจ.ปี 70'!$C$25</f>
        <v>420000</v>
      </c>
      <c r="P34" s="421">
        <f t="shared" si="0"/>
        <v>20000</v>
      </c>
      <c r="Q34" s="423">
        <f t="shared" si="3"/>
        <v>5.0000000000000044E-2</v>
      </c>
      <c r="R34" s="424" t="str">
        <f t="shared" si="1"/>
        <v>เพิ่มขึ้น</v>
      </c>
      <c r="S34" s="480" t="s">
        <v>102</v>
      </c>
      <c r="T34" s="8" t="s">
        <v>24</v>
      </c>
      <c r="U34" s="9">
        <v>0</v>
      </c>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row>
    <row r="35" spans="2:241" s="4" customFormat="1" ht="18.7" customHeight="1" x14ac:dyDescent="0.3">
      <c r="B35" s="600"/>
      <c r="C35" s="603"/>
      <c r="D35" s="679"/>
      <c r="E35" s="721"/>
      <c r="F35" s="731"/>
      <c r="G35" s="732"/>
      <c r="H35" s="655" t="s">
        <v>103</v>
      </c>
      <c r="I35" s="649"/>
      <c r="J35" s="649"/>
      <c r="K35" s="649"/>
      <c r="L35" s="379">
        <f>Dataผลพิปี69!U66</f>
        <v>150000</v>
      </c>
      <c r="M35" s="42" t="s">
        <v>97</v>
      </c>
      <c r="N35" s="468">
        <f t="shared" si="2"/>
        <v>1</v>
      </c>
      <c r="O35" s="53">
        <f>'[18]รวม คชจ.ปี 70'!$C$26</f>
        <v>150000</v>
      </c>
      <c r="P35" s="388">
        <f t="shared" si="0"/>
        <v>0</v>
      </c>
      <c r="Q35" s="529">
        <f t="shared" si="3"/>
        <v>0</v>
      </c>
      <c r="R35" s="49" t="str">
        <f t="shared" si="1"/>
        <v>--</v>
      </c>
      <c r="S35" s="481" t="s">
        <v>104</v>
      </c>
      <c r="T35" s="8" t="s">
        <v>24</v>
      </c>
      <c r="U35" s="9">
        <v>0</v>
      </c>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row>
    <row r="36" spans="2:241" s="4" customFormat="1" ht="69.5" customHeight="1" x14ac:dyDescent="0.3">
      <c r="B36" s="387"/>
      <c r="C36" s="395" t="s">
        <v>25</v>
      </c>
      <c r="D36" s="377" t="str">
        <f>'สรุปใช้งบ 31กค'!B29</f>
        <v>5031107000</v>
      </c>
      <c r="E36" s="503" t="s">
        <v>105</v>
      </c>
      <c r="F36" s="709" t="s">
        <v>106</v>
      </c>
      <c r="G36" s="710"/>
      <c r="H36" s="654" t="s">
        <v>107</v>
      </c>
      <c r="I36" s="643"/>
      <c r="J36" s="643"/>
      <c r="K36" s="643"/>
      <c r="L36" s="378">
        <f>'สรุปใช้งบ 31กค'!H29</f>
        <v>27000</v>
      </c>
      <c r="M36" s="41">
        <f>'สรุปใช้งบ 31กค'!L29</f>
        <v>1177</v>
      </c>
      <c r="N36" s="422">
        <f t="shared" si="2"/>
        <v>-0.95640740740740737</v>
      </c>
      <c r="O36" s="52">
        <f>'[19]2570'!$D$28</f>
        <v>40000</v>
      </c>
      <c r="P36" s="425">
        <f t="shared" si="0"/>
        <v>13000</v>
      </c>
      <c r="Q36" s="422">
        <f t="shared" si="3"/>
        <v>0.4814814814814814</v>
      </c>
      <c r="R36" s="467" t="str">
        <f t="shared" si="1"/>
        <v>เพิ่มขึ้น</v>
      </c>
      <c r="S36" s="433" t="s">
        <v>663</v>
      </c>
      <c r="T36" s="6" t="s">
        <v>24</v>
      </c>
      <c r="U36" s="7">
        <v>0</v>
      </c>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row>
    <row r="37" spans="2:241" s="4" customFormat="1" ht="19.05" customHeight="1" x14ac:dyDescent="0.3">
      <c r="B37" s="431" t="s">
        <v>108</v>
      </c>
      <c r="C37" s="395" t="s">
        <v>109</v>
      </c>
      <c r="D37" s="377" t="str">
        <f>'สรุปใช้งบ 31กค'!B32</f>
        <v>5031118000</v>
      </c>
      <c r="E37" s="501" t="s">
        <v>110</v>
      </c>
      <c r="F37" s="726" t="s">
        <v>111</v>
      </c>
      <c r="G37" s="716"/>
      <c r="H37" s="713" t="s">
        <v>112</v>
      </c>
      <c r="I37" s="714"/>
      <c r="J37" s="714"/>
      <c r="K37" s="714"/>
      <c r="L37" s="378">
        <f>'สรุปใช้งบ 31กค'!H32</f>
        <v>6300</v>
      </c>
      <c r="M37" s="41">
        <f>'สรุปใช้งบ 31กค'!L32</f>
        <v>5550</v>
      </c>
      <c r="N37" s="422">
        <f t="shared" si="2"/>
        <v>-0.11904761904761907</v>
      </c>
      <c r="O37" s="52">
        <f>'[20]ค่าสิทธิการใช้โปรแกรม ปี 70'!$H$202</f>
        <v>8800</v>
      </c>
      <c r="P37" s="425">
        <f t="shared" si="0"/>
        <v>2500</v>
      </c>
      <c r="Q37" s="422">
        <f t="shared" si="3"/>
        <v>0.39682539682539675</v>
      </c>
      <c r="R37" s="467" t="str">
        <f t="shared" si="1"/>
        <v>เพิ่มขึ้น</v>
      </c>
      <c r="S37" s="505" t="s">
        <v>113</v>
      </c>
      <c r="T37" s="6">
        <v>4</v>
      </c>
      <c r="U37" s="7">
        <f>'[20]ค่าสิทธิการใช้โปรแกรม ปี 70'!$I$202</f>
        <v>8800</v>
      </c>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row>
    <row r="38" spans="2:241" s="4" customFormat="1" ht="19.05" customHeight="1" x14ac:dyDescent="0.3">
      <c r="B38" s="600"/>
      <c r="C38" s="395" t="s">
        <v>25</v>
      </c>
      <c r="D38" s="377" t="str">
        <f>'สรุปใช้งบ 31กค'!B33</f>
        <v>5031133000</v>
      </c>
      <c r="E38" s="503" t="s">
        <v>114</v>
      </c>
      <c r="F38" s="727" t="s">
        <v>115</v>
      </c>
      <c r="G38" s="728"/>
      <c r="H38" s="713" t="s">
        <v>116</v>
      </c>
      <c r="I38" s="714"/>
      <c r="J38" s="714"/>
      <c r="K38" s="714"/>
      <c r="L38" s="378">
        <f>'สรุปใช้งบ 31กค'!H33</f>
        <v>23000</v>
      </c>
      <c r="M38" s="41">
        <f>L38</f>
        <v>23000</v>
      </c>
      <c r="N38" s="422">
        <f t="shared" si="2"/>
        <v>0</v>
      </c>
      <c r="O38" s="52">
        <f>'[21]ค่าสิทธิการใช้โปรแกรม ปี 70'!$H$202</f>
        <v>48000</v>
      </c>
      <c r="P38" s="478">
        <f t="shared" si="0"/>
        <v>25000</v>
      </c>
      <c r="Q38" s="422">
        <f t="shared" si="3"/>
        <v>1.0869565217391304</v>
      </c>
      <c r="R38" s="467" t="str">
        <f t="shared" si="1"/>
        <v>เพิ่มขึ้น</v>
      </c>
      <c r="S38" s="433" t="s">
        <v>117</v>
      </c>
      <c r="T38" s="6">
        <v>1</v>
      </c>
      <c r="U38" s="7">
        <f>'[21]ค่าสิทธิการใช้โปรแกรม ปี 70'!$I$202</f>
        <v>0</v>
      </c>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row>
    <row r="39" spans="2:241" s="4" customFormat="1" ht="19.05" customHeight="1" x14ac:dyDescent="0.3">
      <c r="B39" s="600"/>
      <c r="C39" s="395" t="s">
        <v>25</v>
      </c>
      <c r="D39" s="377">
        <f>'สรุปใช้งบ 31กค'!B30</f>
        <v>5031131000</v>
      </c>
      <c r="E39" s="501" t="s">
        <v>118</v>
      </c>
      <c r="F39" s="626" t="s">
        <v>119</v>
      </c>
      <c r="G39" s="627"/>
      <c r="H39" s="654" t="s">
        <v>120</v>
      </c>
      <c r="I39" s="643"/>
      <c r="J39" s="643"/>
      <c r="K39" s="643"/>
      <c r="L39" s="533">
        <f>'สรุปใช้งบ 31กค'!H30</f>
        <v>220000</v>
      </c>
      <c r="M39" s="41">
        <f>'สรุปใช้งบ 31กค'!L30</f>
        <v>60000</v>
      </c>
      <c r="N39" s="417">
        <f t="shared" si="2"/>
        <v>-0.72727272727272729</v>
      </c>
      <c r="O39" s="52">
        <f>'[22]2570'!$E$7</f>
        <v>220000</v>
      </c>
      <c r="P39" s="411">
        <f t="shared" si="0"/>
        <v>0</v>
      </c>
      <c r="Q39" s="527">
        <f t="shared" si="3"/>
        <v>0</v>
      </c>
      <c r="R39" s="426" t="str">
        <f t="shared" si="1"/>
        <v>--</v>
      </c>
      <c r="S39" s="438" t="s">
        <v>121</v>
      </c>
      <c r="T39" s="6" t="s">
        <v>24</v>
      </c>
      <c r="U39" s="7">
        <v>0</v>
      </c>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row>
    <row r="40" spans="2:241" s="4" customFormat="1" ht="19.5" hidden="1" customHeight="1" x14ac:dyDescent="0.3">
      <c r="B40" s="387"/>
      <c r="C40" s="486" t="s">
        <v>122</v>
      </c>
      <c r="D40" s="685" t="s">
        <v>123</v>
      </c>
      <c r="E40" s="686"/>
      <c r="F40" s="687"/>
      <c r="G40" s="686"/>
      <c r="H40" s="448" t="s">
        <v>124</v>
      </c>
      <c r="I40" s="449" t="s">
        <v>125</v>
      </c>
      <c r="J40" s="493" t="s">
        <v>126</v>
      </c>
      <c r="K40" s="494" t="s">
        <v>127</v>
      </c>
      <c r="L40" s="403">
        <f>SUM(L41:L80)</f>
        <v>29633600</v>
      </c>
      <c r="M40" s="403">
        <f>SUM(M41:M80)</f>
        <v>25333985</v>
      </c>
      <c r="N40" s="484">
        <f t="shared" si="2"/>
        <v>-0.14509256384644453</v>
      </c>
      <c r="O40" s="55">
        <f>SUM(O41:O80)</f>
        <v>37441500</v>
      </c>
      <c r="P40" s="412">
        <f t="shared" si="0"/>
        <v>7807900</v>
      </c>
      <c r="Q40" s="484">
        <f t="shared" si="3"/>
        <v>0.26348131850332046</v>
      </c>
      <c r="R40" s="49" t="str">
        <f t="shared" si="1"/>
        <v>เพิ่มขึ้น</v>
      </c>
      <c r="S40" s="36"/>
      <c r="T40" s="12"/>
      <c r="U40" s="403">
        <f>SUM(U41:U80)</f>
        <v>0</v>
      </c>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row>
    <row r="41" spans="2:241" s="16" customFormat="1" ht="44.55" hidden="1" customHeight="1" x14ac:dyDescent="0.3">
      <c r="B41" s="491" t="s">
        <v>128</v>
      </c>
      <c r="C41" s="395" t="s">
        <v>129</v>
      </c>
      <c r="D41" s="376" t="s">
        <v>130</v>
      </c>
      <c r="E41" s="376" t="s">
        <v>131</v>
      </c>
      <c r="F41" s="722" t="s">
        <v>132</v>
      </c>
      <c r="G41" s="723"/>
      <c r="H41" s="450" t="s">
        <v>20</v>
      </c>
      <c r="I41" s="451">
        <v>0</v>
      </c>
      <c r="J41" s="495">
        <v>1</v>
      </c>
      <c r="K41" s="506">
        <f>ROUNDUP(1630894,-4)</f>
        <v>1640000</v>
      </c>
      <c r="L41" s="402"/>
      <c r="M41" s="41"/>
      <c r="N41" s="422">
        <f t="shared" si="2"/>
        <v>1</v>
      </c>
      <c r="O41" s="56">
        <f t="shared" ref="O41:O68" si="4">K41*J41</f>
        <v>1640000</v>
      </c>
      <c r="P41" s="425">
        <f t="shared" si="0"/>
        <v>1640000</v>
      </c>
      <c r="Q41" s="422">
        <f t="shared" si="3"/>
        <v>1</v>
      </c>
      <c r="R41" s="424" t="str">
        <f t="shared" si="1"/>
        <v>เพิ่มขึ้น</v>
      </c>
      <c r="S41" s="505" t="s">
        <v>633</v>
      </c>
      <c r="T41" s="22"/>
      <c r="U41" s="23"/>
      <c r="V41" s="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row>
    <row r="42" spans="2:241" s="16" customFormat="1" ht="25.05" hidden="1" customHeight="1" x14ac:dyDescent="0.3">
      <c r="B42" s="393" t="s">
        <v>133</v>
      </c>
      <c r="C42" s="395" t="s">
        <v>129</v>
      </c>
      <c r="D42" s="376" t="s">
        <v>130</v>
      </c>
      <c r="E42" s="376" t="s">
        <v>134</v>
      </c>
      <c r="F42" s="662" t="s">
        <v>135</v>
      </c>
      <c r="G42" s="664"/>
      <c r="H42" s="450" t="s">
        <v>20</v>
      </c>
      <c r="I42" s="451">
        <v>0</v>
      </c>
      <c r="J42" s="495">
        <v>1</v>
      </c>
      <c r="K42" s="506">
        <f>ROUNDUP(150000,-4)</f>
        <v>150000</v>
      </c>
      <c r="L42" s="381">
        <v>0</v>
      </c>
      <c r="M42" s="307">
        <v>0</v>
      </c>
      <c r="N42" s="422">
        <f t="shared" si="2"/>
        <v>1</v>
      </c>
      <c r="O42" s="56">
        <f t="shared" si="4"/>
        <v>150000</v>
      </c>
      <c r="P42" s="425">
        <f t="shared" si="0"/>
        <v>150000</v>
      </c>
      <c r="Q42" s="422">
        <f t="shared" si="3"/>
        <v>1</v>
      </c>
      <c r="R42" s="424" t="str">
        <f t="shared" si="1"/>
        <v>เพิ่มขึ้น</v>
      </c>
      <c r="S42" s="433" t="s">
        <v>136</v>
      </c>
      <c r="T42" s="22"/>
      <c r="U42" s="23"/>
      <c r="V42" s="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row>
    <row r="43" spans="2:241" s="16" customFormat="1" ht="20.55" hidden="1" customHeight="1" x14ac:dyDescent="0.3">
      <c r="B43" s="604" t="s">
        <v>137</v>
      </c>
      <c r="C43" s="395" t="s">
        <v>138</v>
      </c>
      <c r="D43" s="593" t="s">
        <v>130</v>
      </c>
      <c r="E43" s="520" t="s">
        <v>139</v>
      </c>
      <c r="F43" s="598" t="s">
        <v>140</v>
      </c>
      <c r="G43" s="599"/>
      <c r="H43" s="450" t="s">
        <v>20</v>
      </c>
      <c r="I43" s="451">
        <v>0</v>
      </c>
      <c r="J43" s="495">
        <v>2</v>
      </c>
      <c r="K43" s="506">
        <f>ROUNDUP((2339000+368508)*110%,-4)</f>
        <v>2980000</v>
      </c>
      <c r="L43" s="381">
        <v>0</v>
      </c>
      <c r="M43" s="307">
        <v>0</v>
      </c>
      <c r="N43" s="422">
        <f t="shared" si="2"/>
        <v>1</v>
      </c>
      <c r="O43" s="56">
        <f>K43*J43</f>
        <v>5960000</v>
      </c>
      <c r="P43" s="425">
        <f t="shared" si="0"/>
        <v>5960000</v>
      </c>
      <c r="Q43" s="422">
        <f t="shared" si="3"/>
        <v>1</v>
      </c>
      <c r="R43" s="424" t="str">
        <f t="shared" si="1"/>
        <v>เพิ่มขึ้น</v>
      </c>
      <c r="S43" s="505" t="s">
        <v>646</v>
      </c>
      <c r="T43" s="22"/>
      <c r="U43" s="23"/>
      <c r="V43" s="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row>
    <row r="44" spans="2:241" s="16" customFormat="1" ht="20.55" hidden="1" customHeight="1" x14ac:dyDescent="0.3">
      <c r="B44" s="604"/>
      <c r="C44" s="395" t="s">
        <v>138</v>
      </c>
      <c r="D44" s="595"/>
      <c r="E44" s="520" t="s">
        <v>141</v>
      </c>
      <c r="F44" s="598" t="s">
        <v>142</v>
      </c>
      <c r="G44" s="599"/>
      <c r="H44" s="450" t="s">
        <v>20</v>
      </c>
      <c r="I44" s="451">
        <v>0</v>
      </c>
      <c r="J44" s="495">
        <v>1</v>
      </c>
      <c r="K44" s="506">
        <f>ROUNDUP((1904000+368508)*110%,-4)</f>
        <v>2500000</v>
      </c>
      <c r="L44" s="381">
        <v>0</v>
      </c>
      <c r="M44" s="307">
        <v>0</v>
      </c>
      <c r="N44" s="422">
        <f t="shared" si="2"/>
        <v>1</v>
      </c>
      <c r="O44" s="56">
        <f t="shared" si="4"/>
        <v>2500000</v>
      </c>
      <c r="P44" s="425">
        <f t="shared" si="0"/>
        <v>2500000</v>
      </c>
      <c r="Q44" s="422">
        <f t="shared" si="3"/>
        <v>1</v>
      </c>
      <c r="R44" s="424" t="str">
        <f t="shared" si="1"/>
        <v>เพิ่มขึ้น</v>
      </c>
      <c r="S44" s="505" t="s">
        <v>647</v>
      </c>
      <c r="T44" s="22"/>
      <c r="U44" s="23"/>
      <c r="V44" s="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c r="IG44" s="15"/>
    </row>
    <row r="45" spans="2:241" s="16" customFormat="1" ht="44" hidden="1" customHeight="1" x14ac:dyDescent="0.3">
      <c r="B45" s="499" t="s">
        <v>143</v>
      </c>
      <c r="C45" s="395" t="s">
        <v>129</v>
      </c>
      <c r="D45" s="376" t="s">
        <v>130</v>
      </c>
      <c r="E45" s="520" t="s">
        <v>144</v>
      </c>
      <c r="F45" s="598" t="s">
        <v>145</v>
      </c>
      <c r="G45" s="599"/>
      <c r="H45" s="450">
        <v>1</v>
      </c>
      <c r="I45" s="451">
        <f>'ผลพิ69-สรุป'!I49</f>
        <v>3902400</v>
      </c>
      <c r="J45" s="495">
        <v>1</v>
      </c>
      <c r="K45" s="506">
        <v>1300000</v>
      </c>
      <c r="L45" s="381">
        <f>'สรุปใช้งบ 31กค'!H45</f>
        <v>3902400</v>
      </c>
      <c r="M45" s="307">
        <f>'สรุปใช้งบ 31กค'!L45</f>
        <v>1000000</v>
      </c>
      <c r="N45" s="418">
        <f t="shared" si="2"/>
        <v>-0.74374743747437466</v>
      </c>
      <c r="O45" s="56">
        <f t="shared" si="4"/>
        <v>1300000</v>
      </c>
      <c r="P45" s="413">
        <f t="shared" si="0"/>
        <v>-2602400</v>
      </c>
      <c r="Q45" s="418">
        <f t="shared" si="3"/>
        <v>-0.66687166871668713</v>
      </c>
      <c r="R45" s="442" t="str">
        <f t="shared" si="1"/>
        <v>ลดลง</v>
      </c>
      <c r="S45" s="434" t="s">
        <v>634</v>
      </c>
      <c r="T45" s="22"/>
      <c r="U45" s="23"/>
      <c r="V45" s="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row>
    <row r="46" spans="2:241" s="16" customFormat="1" ht="22.5" hidden="1" customHeight="1" x14ac:dyDescent="0.3">
      <c r="B46" s="397"/>
      <c r="C46" s="395" t="s">
        <v>146</v>
      </c>
      <c r="D46" s="10" t="s">
        <v>147</v>
      </c>
      <c r="E46" s="520" t="s">
        <v>148</v>
      </c>
      <c r="F46" s="598" t="str">
        <f>[23]แบบสำรวจอุปกรณ์!$D$22</f>
        <v>อุปกรณ์เคลื่อนย้ายรถ</v>
      </c>
      <c r="G46" s="599"/>
      <c r="H46" s="450" t="s">
        <v>20</v>
      </c>
      <c r="I46" s="451">
        <v>0</v>
      </c>
      <c r="J46" s="495">
        <f>[23]แบบสำรวจอุปกรณ์!$AB$22</f>
        <v>1</v>
      </c>
      <c r="K46" s="506">
        <f>ROUNDUP(23433*110%,-3)</f>
        <v>26000</v>
      </c>
      <c r="L46" s="381">
        <v>0</v>
      </c>
      <c r="M46" s="307">
        <v>0</v>
      </c>
      <c r="N46" s="422">
        <f t="shared" si="2"/>
        <v>1</v>
      </c>
      <c r="O46" s="56">
        <f t="shared" si="4"/>
        <v>26000</v>
      </c>
      <c r="P46" s="425">
        <f t="shared" si="0"/>
        <v>26000</v>
      </c>
      <c r="Q46" s="422">
        <f t="shared" si="3"/>
        <v>1</v>
      </c>
      <c r="R46" s="424" t="str">
        <f t="shared" si="1"/>
        <v>เพิ่มขึ้น</v>
      </c>
      <c r="S46" s="433" t="s">
        <v>635</v>
      </c>
      <c r="T46" s="22"/>
      <c r="U46" s="23"/>
      <c r="V46" s="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E46" s="15"/>
      <c r="GF46" s="15"/>
      <c r="GG46" s="15"/>
      <c r="GH46" s="15"/>
      <c r="GI46" s="15"/>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row>
    <row r="47" spans="2:241" s="16" customFormat="1" ht="21.7" hidden="1" customHeight="1" x14ac:dyDescent="0.3">
      <c r="B47" s="387"/>
      <c r="C47" s="395" t="s">
        <v>149</v>
      </c>
      <c r="D47" s="10">
        <v>1800009014</v>
      </c>
      <c r="E47" s="520" t="s">
        <v>150</v>
      </c>
      <c r="F47" s="601" t="s">
        <v>151</v>
      </c>
      <c r="G47" s="602"/>
      <c r="H47" s="450" t="s">
        <v>20</v>
      </c>
      <c r="I47" s="451">
        <v>0</v>
      </c>
      <c r="J47" s="495">
        <v>10</v>
      </c>
      <c r="K47" s="506">
        <f>ROUNDUP((189900)*105%,-3)</f>
        <v>200000</v>
      </c>
      <c r="L47" s="381">
        <v>0</v>
      </c>
      <c r="M47" s="307">
        <v>0</v>
      </c>
      <c r="N47" s="422">
        <f t="shared" si="2"/>
        <v>1</v>
      </c>
      <c r="O47" s="56">
        <f t="shared" si="4"/>
        <v>2000000</v>
      </c>
      <c r="P47" s="425">
        <f t="shared" si="0"/>
        <v>2000000</v>
      </c>
      <c r="Q47" s="422">
        <f t="shared" si="3"/>
        <v>1</v>
      </c>
      <c r="R47" s="424" t="str">
        <f t="shared" si="1"/>
        <v>เพิ่มขึ้น</v>
      </c>
      <c r="S47" s="433" t="s">
        <v>637</v>
      </c>
      <c r="T47" s="22"/>
      <c r="U47" s="23"/>
      <c r="V47" s="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c r="IG47" s="15"/>
    </row>
    <row r="48" spans="2:241" s="16" customFormat="1" ht="21.7" hidden="1" customHeight="1" x14ac:dyDescent="0.3">
      <c r="B48" s="596" t="s">
        <v>668</v>
      </c>
      <c r="C48" s="597" t="s">
        <v>152</v>
      </c>
      <c r="D48" s="593">
        <v>1800009015</v>
      </c>
      <c r="E48" s="692" t="s">
        <v>153</v>
      </c>
      <c r="F48" s="601" t="s">
        <v>154</v>
      </c>
      <c r="G48" s="602"/>
      <c r="H48" s="450" t="s">
        <v>20</v>
      </c>
      <c r="I48" s="451">
        <v>0</v>
      </c>
      <c r="J48" s="495">
        <v>3</v>
      </c>
      <c r="K48" s="506">
        <f>ROUNDUP((25000*107%),-3)</f>
        <v>27000</v>
      </c>
      <c r="L48" s="381">
        <v>0</v>
      </c>
      <c r="M48" s="307">
        <v>0</v>
      </c>
      <c r="N48" s="422">
        <f t="shared" si="2"/>
        <v>1</v>
      </c>
      <c r="O48" s="56">
        <f t="shared" si="4"/>
        <v>81000</v>
      </c>
      <c r="P48" s="425">
        <f t="shared" si="0"/>
        <v>81000</v>
      </c>
      <c r="Q48" s="422">
        <f t="shared" si="3"/>
        <v>1</v>
      </c>
      <c r="R48" s="424" t="str">
        <f t="shared" si="1"/>
        <v>เพิ่มขึ้น</v>
      </c>
      <c r="S48" s="623" t="s">
        <v>667</v>
      </c>
      <c r="T48" s="22"/>
      <c r="U48" s="23"/>
      <c r="V48" s="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c r="GM48" s="15"/>
      <c r="GN48" s="15"/>
      <c r="GO48" s="15"/>
      <c r="GP48" s="15"/>
      <c r="GQ48" s="15"/>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c r="IG48" s="15"/>
    </row>
    <row r="49" spans="2:241" s="16" customFormat="1" ht="21.7" hidden="1" customHeight="1" x14ac:dyDescent="0.3">
      <c r="B49" s="596"/>
      <c r="C49" s="597"/>
      <c r="D49" s="594"/>
      <c r="E49" s="693"/>
      <c r="F49" s="601" t="s">
        <v>155</v>
      </c>
      <c r="G49" s="602"/>
      <c r="H49" s="450" t="s">
        <v>20</v>
      </c>
      <c r="I49" s="451">
        <v>0</v>
      </c>
      <c r="J49" s="495">
        <v>3</v>
      </c>
      <c r="K49" s="506">
        <f>ROUNDUP((24500*107%),-3)</f>
        <v>27000</v>
      </c>
      <c r="L49" s="381">
        <v>0</v>
      </c>
      <c r="M49" s="307">
        <v>0</v>
      </c>
      <c r="N49" s="422">
        <f t="shared" si="2"/>
        <v>1</v>
      </c>
      <c r="O49" s="56">
        <f t="shared" si="4"/>
        <v>81000</v>
      </c>
      <c r="P49" s="425">
        <f t="shared" si="0"/>
        <v>81000</v>
      </c>
      <c r="Q49" s="422">
        <f t="shared" si="3"/>
        <v>1</v>
      </c>
      <c r="R49" s="424" t="str">
        <f t="shared" si="1"/>
        <v>เพิ่มขึ้น</v>
      </c>
      <c r="S49" s="625"/>
      <c r="T49" s="22"/>
      <c r="U49" s="23"/>
      <c r="V49" s="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5"/>
      <c r="FU49" s="15"/>
      <c r="FV49" s="15"/>
      <c r="FW49" s="15"/>
      <c r="FX49" s="15"/>
      <c r="FY49" s="15"/>
      <c r="FZ49" s="15"/>
      <c r="GA49" s="15"/>
      <c r="GB49" s="15"/>
      <c r="GC49" s="15"/>
      <c r="GD49" s="15"/>
      <c r="GE49" s="15"/>
      <c r="GF49" s="15"/>
      <c r="GG49" s="15"/>
      <c r="GH49" s="15"/>
      <c r="GI49" s="15"/>
      <c r="GJ49" s="15"/>
      <c r="GK49" s="15"/>
      <c r="GL49" s="15"/>
      <c r="GM49" s="15"/>
      <c r="GN49" s="15"/>
      <c r="GO49" s="15"/>
      <c r="GP49" s="15"/>
      <c r="GQ49" s="15"/>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c r="IG49" s="15"/>
    </row>
    <row r="50" spans="2:241" s="16" customFormat="1" ht="21.7" hidden="1" customHeight="1" x14ac:dyDescent="0.3">
      <c r="B50" s="596"/>
      <c r="C50" s="597"/>
      <c r="D50" s="595"/>
      <c r="E50" s="693"/>
      <c r="F50" s="601" t="s">
        <v>156</v>
      </c>
      <c r="G50" s="602"/>
      <c r="H50" s="450" t="s">
        <v>20</v>
      </c>
      <c r="I50" s="451">
        <v>0</v>
      </c>
      <c r="J50" s="495">
        <v>4</v>
      </c>
      <c r="K50" s="506">
        <f>ROUNDUP((27500*107%),-3)</f>
        <v>30000</v>
      </c>
      <c r="L50" s="381">
        <v>0</v>
      </c>
      <c r="M50" s="307">
        <v>0</v>
      </c>
      <c r="N50" s="508">
        <f t="shared" si="2"/>
        <v>1</v>
      </c>
      <c r="O50" s="56">
        <f>K50*J50</f>
        <v>120000</v>
      </c>
      <c r="P50" s="507">
        <f t="shared" si="0"/>
        <v>120000</v>
      </c>
      <c r="Q50" s="508">
        <f t="shared" si="3"/>
        <v>1</v>
      </c>
      <c r="R50" s="509" t="str">
        <f t="shared" si="1"/>
        <v>เพิ่มขึ้น</v>
      </c>
      <c r="S50" s="625"/>
      <c r="T50" s="22"/>
      <c r="U50" s="23"/>
      <c r="V50" s="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row>
    <row r="51" spans="2:241" s="16" customFormat="1" ht="21.7" hidden="1" customHeight="1" x14ac:dyDescent="0.3">
      <c r="B51" s="596"/>
      <c r="C51" s="597"/>
      <c r="D51" s="10">
        <v>1800009016</v>
      </c>
      <c r="E51" s="694"/>
      <c r="F51" s="598" t="s">
        <v>157</v>
      </c>
      <c r="G51" s="599"/>
      <c r="H51" s="450">
        <f>10</f>
        <v>10</v>
      </c>
      <c r="I51" s="451">
        <f>'สรุปใช้งบ 31กค'!H44/10</f>
        <v>176550</v>
      </c>
      <c r="J51" s="495">
        <f>5+6</f>
        <v>11</v>
      </c>
      <c r="K51" s="506">
        <f>ROUNDUP((140000*107%),-1)</f>
        <v>149800</v>
      </c>
      <c r="L51" s="381">
        <f>'สรุปใช้งบ 31กค'!H44</f>
        <v>1765500</v>
      </c>
      <c r="M51" s="307">
        <f>'สรุปใช้งบ 31กค'!L44</f>
        <v>1765500</v>
      </c>
      <c r="N51" s="510">
        <f t="shared" si="2"/>
        <v>0</v>
      </c>
      <c r="O51" s="56">
        <f t="shared" ref="O51:O52" si="5">K51*J51</f>
        <v>1647800</v>
      </c>
      <c r="P51" s="479">
        <f t="shared" si="0"/>
        <v>-117700</v>
      </c>
      <c r="Q51" s="510">
        <f t="shared" si="3"/>
        <v>-6.6666666666666652E-2</v>
      </c>
      <c r="R51" s="482" t="str">
        <f t="shared" si="1"/>
        <v>ลดลง</v>
      </c>
      <c r="S51" s="434" t="s">
        <v>638</v>
      </c>
      <c r="T51" s="22"/>
      <c r="U51" s="23"/>
      <c r="V51" s="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row>
    <row r="52" spans="2:241" s="16" customFormat="1" ht="31.5" hidden="1" customHeight="1" x14ac:dyDescent="0.3">
      <c r="B52" s="387"/>
      <c r="C52" s="395" t="s">
        <v>149</v>
      </c>
      <c r="D52" s="10" t="s">
        <v>158</v>
      </c>
      <c r="E52" s="520" t="s">
        <v>159</v>
      </c>
      <c r="F52" s="601" t="s">
        <v>639</v>
      </c>
      <c r="G52" s="602"/>
      <c r="H52" s="450" t="s">
        <v>20</v>
      </c>
      <c r="I52" s="451">
        <v>0</v>
      </c>
      <c r="J52" s="495">
        <v>5</v>
      </c>
      <c r="K52" s="506">
        <f>ROUNDUP((59000*105%),-3)</f>
        <v>62000</v>
      </c>
      <c r="L52" s="381">
        <v>0</v>
      </c>
      <c r="M52" s="307">
        <v>0</v>
      </c>
      <c r="N52" s="512">
        <f t="shared" si="2"/>
        <v>1</v>
      </c>
      <c r="O52" s="56">
        <f t="shared" si="5"/>
        <v>310000</v>
      </c>
      <c r="P52" s="511">
        <f t="shared" si="0"/>
        <v>310000</v>
      </c>
      <c r="Q52" s="512">
        <f t="shared" si="3"/>
        <v>1</v>
      </c>
      <c r="R52" s="513" t="str">
        <f t="shared" si="1"/>
        <v>เพิ่มขึ้น</v>
      </c>
      <c r="S52" s="514" t="s">
        <v>640</v>
      </c>
      <c r="T52" s="22"/>
      <c r="U52" s="23"/>
      <c r="V52" s="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row>
    <row r="53" spans="2:241" s="16" customFormat="1" ht="21.7" hidden="1" customHeight="1" x14ac:dyDescent="0.3">
      <c r="B53" s="387"/>
      <c r="C53" s="395" t="s">
        <v>149</v>
      </c>
      <c r="D53" s="593">
        <v>1800012038</v>
      </c>
      <c r="E53" s="520" t="s">
        <v>160</v>
      </c>
      <c r="F53" s="601" t="s">
        <v>161</v>
      </c>
      <c r="G53" s="602"/>
      <c r="H53" s="450" t="s">
        <v>20</v>
      </c>
      <c r="I53" s="451">
        <v>0</v>
      </c>
      <c r="J53" s="495">
        <v>2</v>
      </c>
      <c r="K53" s="506">
        <f>630000/2</f>
        <v>315000</v>
      </c>
      <c r="L53" s="381">
        <v>0</v>
      </c>
      <c r="M53" s="307">
        <v>0</v>
      </c>
      <c r="N53" s="422">
        <f t="shared" si="2"/>
        <v>1</v>
      </c>
      <c r="O53" s="56">
        <f t="shared" si="4"/>
        <v>630000</v>
      </c>
      <c r="P53" s="425">
        <f t="shared" si="0"/>
        <v>630000</v>
      </c>
      <c r="Q53" s="422">
        <f t="shared" si="3"/>
        <v>1</v>
      </c>
      <c r="R53" s="424" t="str">
        <f t="shared" si="1"/>
        <v>เพิ่มขึ้น</v>
      </c>
      <c r="S53" s="623" t="s">
        <v>641</v>
      </c>
      <c r="T53" s="22"/>
      <c r="U53" s="23"/>
      <c r="V53" s="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row>
    <row r="54" spans="2:241" s="16" customFormat="1" ht="21.7" hidden="1" customHeight="1" x14ac:dyDescent="0.3">
      <c r="B54" s="393" t="s">
        <v>629</v>
      </c>
      <c r="C54" s="395" t="s">
        <v>149</v>
      </c>
      <c r="D54" s="595"/>
      <c r="E54" s="376" t="s">
        <v>162</v>
      </c>
      <c r="F54" s="601" t="s">
        <v>163</v>
      </c>
      <c r="G54" s="602"/>
      <c r="H54" s="450" t="s">
        <v>20</v>
      </c>
      <c r="I54" s="451">
        <v>0</v>
      </c>
      <c r="J54" s="495">
        <v>100</v>
      </c>
      <c r="K54" s="506">
        <v>120000</v>
      </c>
      <c r="L54" s="381">
        <v>0</v>
      </c>
      <c r="M54" s="307">
        <v>0</v>
      </c>
      <c r="N54" s="422">
        <f t="shared" si="2"/>
        <v>1</v>
      </c>
      <c r="O54" s="56">
        <f t="shared" si="4"/>
        <v>12000000</v>
      </c>
      <c r="P54" s="425">
        <f t="shared" si="0"/>
        <v>12000000</v>
      </c>
      <c r="Q54" s="422">
        <f t="shared" si="3"/>
        <v>1</v>
      </c>
      <c r="R54" s="49" t="str">
        <f t="shared" si="1"/>
        <v>เพิ่มขึ้น</v>
      </c>
      <c r="S54" s="624"/>
      <c r="T54" s="22"/>
      <c r="U54" s="23"/>
      <c r="V54" s="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row>
    <row r="55" spans="2:241" s="16" customFormat="1" ht="36.5" hidden="1" customHeight="1" x14ac:dyDescent="0.3">
      <c r="B55" s="397" t="s">
        <v>164</v>
      </c>
      <c r="C55" s="395" t="s">
        <v>152</v>
      </c>
      <c r="D55" s="10">
        <v>1800009024</v>
      </c>
      <c r="E55" s="520" t="s">
        <v>165</v>
      </c>
      <c r="F55" s="670" t="s">
        <v>166</v>
      </c>
      <c r="G55" s="670"/>
      <c r="H55" s="450" t="s">
        <v>20</v>
      </c>
      <c r="I55" s="451">
        <v>0</v>
      </c>
      <c r="J55" s="495">
        <v>6</v>
      </c>
      <c r="K55" s="506">
        <f>ROUNDUP((171200/6),-3)</f>
        <v>29000</v>
      </c>
      <c r="L55" s="381">
        <v>0</v>
      </c>
      <c r="M55" s="307">
        <v>0</v>
      </c>
      <c r="N55" s="422">
        <f t="shared" si="2"/>
        <v>1</v>
      </c>
      <c r="O55" s="56">
        <f t="shared" si="4"/>
        <v>174000</v>
      </c>
      <c r="P55" s="425">
        <f t="shared" si="0"/>
        <v>174000</v>
      </c>
      <c r="Q55" s="422">
        <f t="shared" si="3"/>
        <v>1</v>
      </c>
      <c r="R55" s="424" t="str">
        <f t="shared" si="1"/>
        <v>เพิ่มขึ้น</v>
      </c>
      <c r="S55" s="433" t="s">
        <v>648</v>
      </c>
      <c r="T55" s="22"/>
      <c r="U55" s="23"/>
      <c r="V55" s="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c r="IG55" s="15"/>
    </row>
    <row r="56" spans="2:241" s="16" customFormat="1" ht="24" hidden="1" customHeight="1" x14ac:dyDescent="0.3">
      <c r="B56" s="397" t="s">
        <v>167</v>
      </c>
      <c r="C56" s="395" t="s">
        <v>152</v>
      </c>
      <c r="D56" s="10">
        <v>1800009007</v>
      </c>
      <c r="E56" s="520" t="s">
        <v>168</v>
      </c>
      <c r="F56" s="601" t="s">
        <v>169</v>
      </c>
      <c r="G56" s="602"/>
      <c r="H56" s="450">
        <v>1</v>
      </c>
      <c r="I56" s="452">
        <v>1765500</v>
      </c>
      <c r="J56" s="495">
        <v>1</v>
      </c>
      <c r="K56" s="506">
        <f>ROUNDUP((1738750*105%),-4)</f>
        <v>1830000</v>
      </c>
      <c r="L56" s="381">
        <f>'สรุปใช้งบ 31กค'!H48</f>
        <v>1765500</v>
      </c>
      <c r="M56" s="307">
        <f>'สรุปใช้งบ 31กค'!L48</f>
        <v>1760000</v>
      </c>
      <c r="N56" s="422">
        <f t="shared" si="2"/>
        <v>-3.1152647975077885E-3</v>
      </c>
      <c r="O56" s="56">
        <f t="shared" si="4"/>
        <v>1830000</v>
      </c>
      <c r="P56" s="425">
        <f t="shared" si="0"/>
        <v>64500</v>
      </c>
      <c r="Q56" s="422">
        <f t="shared" si="3"/>
        <v>3.6533559898045853E-2</v>
      </c>
      <c r="R56" s="424" t="str">
        <f t="shared" si="1"/>
        <v>เพิ่มขึ้น</v>
      </c>
      <c r="S56" s="515" t="s">
        <v>642</v>
      </c>
      <c r="T56" s="22"/>
      <c r="U56" s="23"/>
      <c r="V56" s="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c r="IG56" s="15"/>
    </row>
    <row r="57" spans="2:241" s="16" customFormat="1" ht="34.049999999999997" hidden="1" customHeight="1" x14ac:dyDescent="0.3">
      <c r="B57" s="393" t="s">
        <v>629</v>
      </c>
      <c r="C57" s="395" t="s">
        <v>152</v>
      </c>
      <c r="D57" s="10">
        <v>1800009032</v>
      </c>
      <c r="E57" s="376" t="s">
        <v>170</v>
      </c>
      <c r="F57" s="670" t="s">
        <v>171</v>
      </c>
      <c r="G57" s="670"/>
      <c r="H57" s="450" t="s">
        <v>20</v>
      </c>
      <c r="I57" s="451">
        <v>0</v>
      </c>
      <c r="J57" s="495">
        <v>10</v>
      </c>
      <c r="K57" s="506">
        <f>ROUNDUP((1594300*105%),-4)/10</f>
        <v>168000</v>
      </c>
      <c r="L57" s="381">
        <v>0</v>
      </c>
      <c r="M57" s="307">
        <v>0</v>
      </c>
      <c r="N57" s="422">
        <f t="shared" si="2"/>
        <v>1</v>
      </c>
      <c r="O57" s="56">
        <f t="shared" si="4"/>
        <v>1680000</v>
      </c>
      <c r="P57" s="425">
        <f t="shared" si="0"/>
        <v>1680000</v>
      </c>
      <c r="Q57" s="422">
        <f t="shared" si="3"/>
        <v>1</v>
      </c>
      <c r="R57" s="424" t="str">
        <f t="shared" si="1"/>
        <v>เพิ่มขึ้น</v>
      </c>
      <c r="S57" s="505" t="s">
        <v>650</v>
      </c>
      <c r="T57" s="22"/>
      <c r="U57" s="23"/>
      <c r="V57" s="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row>
    <row r="58" spans="2:241" s="16" customFormat="1" ht="26.2" hidden="1" customHeight="1" x14ac:dyDescent="0.3">
      <c r="B58" s="393" t="s">
        <v>172</v>
      </c>
      <c r="C58" s="395" t="s">
        <v>152</v>
      </c>
      <c r="D58" s="593">
        <v>1800009041</v>
      </c>
      <c r="E58" s="520" t="s">
        <v>173</v>
      </c>
      <c r="F58" s="618" t="s">
        <v>174</v>
      </c>
      <c r="G58" s="618"/>
      <c r="H58" s="450" t="s">
        <v>20</v>
      </c>
      <c r="I58" s="451">
        <v>0</v>
      </c>
      <c r="J58" s="495">
        <v>10</v>
      </c>
      <c r="K58" s="506">
        <f>ROUNDUP((10165),-3)</f>
        <v>11000</v>
      </c>
      <c r="L58" s="381">
        <v>0</v>
      </c>
      <c r="M58" s="307">
        <v>0</v>
      </c>
      <c r="N58" s="422">
        <f t="shared" si="2"/>
        <v>1</v>
      </c>
      <c r="O58" s="56">
        <f>K58*J58</f>
        <v>110000</v>
      </c>
      <c r="P58" s="425">
        <f t="shared" si="0"/>
        <v>110000</v>
      </c>
      <c r="Q58" s="422">
        <f t="shared" si="3"/>
        <v>1</v>
      </c>
      <c r="R58" s="424" t="str">
        <f t="shared" si="1"/>
        <v>เพิ่มขึ้น</v>
      </c>
      <c r="S58" s="433" t="s">
        <v>649</v>
      </c>
      <c r="T58" s="22"/>
      <c r="U58" s="23"/>
      <c r="V58" s="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row>
    <row r="59" spans="2:241" s="16" customFormat="1" ht="22.5" hidden="1" customHeight="1" x14ac:dyDescent="0.3">
      <c r="B59" s="600"/>
      <c r="C59" s="395" t="s">
        <v>149</v>
      </c>
      <c r="D59" s="595"/>
      <c r="E59" s="520" t="s">
        <v>175</v>
      </c>
      <c r="F59" s="618" t="s">
        <v>176</v>
      </c>
      <c r="G59" s="618"/>
      <c r="H59" s="450" t="s">
        <v>20</v>
      </c>
      <c r="I59" s="451">
        <v>0</v>
      </c>
      <c r="J59" s="495">
        <v>5</v>
      </c>
      <c r="K59" s="506">
        <f>ROUNDUP((13500*107%)*105%,-3)</f>
        <v>16000</v>
      </c>
      <c r="L59" s="381">
        <v>0</v>
      </c>
      <c r="M59" s="307">
        <v>0</v>
      </c>
      <c r="N59" s="422">
        <f t="shared" si="2"/>
        <v>1</v>
      </c>
      <c r="O59" s="56">
        <f t="shared" si="4"/>
        <v>80000</v>
      </c>
      <c r="P59" s="425">
        <f t="shared" si="0"/>
        <v>80000</v>
      </c>
      <c r="Q59" s="422">
        <f t="shared" si="3"/>
        <v>1</v>
      </c>
      <c r="R59" s="424" t="str">
        <f t="shared" si="1"/>
        <v>เพิ่มขึ้น</v>
      </c>
      <c r="S59" s="623" t="s">
        <v>643</v>
      </c>
      <c r="T59" s="22"/>
      <c r="U59" s="23"/>
      <c r="V59" s="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row>
    <row r="60" spans="2:241" s="16" customFormat="1" ht="22.5" hidden="1" customHeight="1" x14ac:dyDescent="0.3">
      <c r="B60" s="600"/>
      <c r="C60" s="395" t="s">
        <v>149</v>
      </c>
      <c r="D60" s="10" t="s">
        <v>177</v>
      </c>
      <c r="E60" s="520" t="s">
        <v>178</v>
      </c>
      <c r="F60" s="618" t="s">
        <v>179</v>
      </c>
      <c r="G60" s="618"/>
      <c r="H60" s="450" t="s">
        <v>20</v>
      </c>
      <c r="I60" s="451">
        <v>0</v>
      </c>
      <c r="J60" s="495">
        <v>7</v>
      </c>
      <c r="K60" s="506">
        <f>ROUNDUP((22200*107%)*105%,-3)</f>
        <v>25000</v>
      </c>
      <c r="L60" s="381">
        <v>0</v>
      </c>
      <c r="M60" s="307">
        <v>0</v>
      </c>
      <c r="N60" s="422">
        <f t="shared" si="2"/>
        <v>1</v>
      </c>
      <c r="O60" s="56">
        <f t="shared" si="4"/>
        <v>175000</v>
      </c>
      <c r="P60" s="425">
        <f t="shared" si="0"/>
        <v>175000</v>
      </c>
      <c r="Q60" s="422">
        <f t="shared" si="3"/>
        <v>1</v>
      </c>
      <c r="R60" s="424" t="str">
        <f t="shared" si="1"/>
        <v>เพิ่มขึ้น</v>
      </c>
      <c r="S60" s="624"/>
      <c r="T60" s="22"/>
      <c r="U60" s="23"/>
      <c r="V60" s="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row>
    <row r="61" spans="2:241" s="16" customFormat="1" ht="22.5" hidden="1" customHeight="1" x14ac:dyDescent="0.3">
      <c r="B61" s="387"/>
      <c r="C61" s="395" t="s">
        <v>180</v>
      </c>
      <c r="D61" s="10">
        <v>1800016041</v>
      </c>
      <c r="E61" s="376" t="s">
        <v>181</v>
      </c>
      <c r="F61" s="665" t="str">
        <f>[23]แบบสำรวจอุปกรณ์!$D$24</f>
        <v>หมวกกันกระสุน (fast helmet)</v>
      </c>
      <c r="G61" s="666"/>
      <c r="H61" s="450" t="s">
        <v>20</v>
      </c>
      <c r="I61" s="451">
        <v>0</v>
      </c>
      <c r="J61" s="495">
        <v>0</v>
      </c>
      <c r="K61" s="496">
        <f>[23]แบบสำรวจอุปกรณ์!$G$24</f>
        <v>10000</v>
      </c>
      <c r="L61" s="381">
        <v>0</v>
      </c>
      <c r="M61" s="307">
        <v>0</v>
      </c>
      <c r="N61" s="416">
        <f t="shared" si="2"/>
        <v>1</v>
      </c>
      <c r="O61" s="56">
        <f t="shared" si="4"/>
        <v>0</v>
      </c>
      <c r="P61" s="307">
        <f t="shared" si="0"/>
        <v>0</v>
      </c>
      <c r="Q61" s="416">
        <f t="shared" si="3"/>
        <v>1</v>
      </c>
      <c r="R61" s="49" t="str">
        <f t="shared" si="1"/>
        <v>--</v>
      </c>
      <c r="S61" s="35"/>
      <c r="T61" s="22"/>
      <c r="U61" s="23"/>
      <c r="V61" s="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row>
    <row r="62" spans="2:241" s="16" customFormat="1" ht="27.5" hidden="1" customHeight="1" x14ac:dyDescent="0.3">
      <c r="B62" s="600"/>
      <c r="C62" s="395" t="s">
        <v>149</v>
      </c>
      <c r="D62" s="10">
        <v>1800016041</v>
      </c>
      <c r="E62" s="520" t="s">
        <v>182</v>
      </c>
      <c r="F62" s="654" t="s">
        <v>183</v>
      </c>
      <c r="G62" s="654"/>
      <c r="H62" s="450" t="s">
        <v>20</v>
      </c>
      <c r="I62" s="451">
        <v>0</v>
      </c>
      <c r="J62" s="495">
        <v>7</v>
      </c>
      <c r="K62" s="506">
        <f>2156000/7</f>
        <v>308000</v>
      </c>
      <c r="L62" s="381">
        <v>0</v>
      </c>
      <c r="M62" s="307">
        <v>0</v>
      </c>
      <c r="N62" s="422">
        <f t="shared" si="2"/>
        <v>1</v>
      </c>
      <c r="O62" s="56">
        <f t="shared" si="4"/>
        <v>2156000</v>
      </c>
      <c r="P62" s="425">
        <f t="shared" si="0"/>
        <v>2156000</v>
      </c>
      <c r="Q62" s="422">
        <f t="shared" si="3"/>
        <v>1</v>
      </c>
      <c r="R62" s="424" t="str">
        <f t="shared" si="1"/>
        <v>เพิ่มขึ้น</v>
      </c>
      <c r="S62" s="433" t="s">
        <v>644</v>
      </c>
      <c r="T62" s="22"/>
      <c r="U62" s="23"/>
      <c r="V62" s="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row>
    <row r="63" spans="2:241" s="16" customFormat="1" ht="29.55" hidden="1" customHeight="1" x14ac:dyDescent="0.3">
      <c r="B63" s="600"/>
      <c r="C63" s="395" t="s">
        <v>149</v>
      </c>
      <c r="D63" s="10" t="s">
        <v>184</v>
      </c>
      <c r="E63" s="520" t="s">
        <v>185</v>
      </c>
      <c r="F63" s="667" t="s">
        <v>186</v>
      </c>
      <c r="G63" s="667"/>
      <c r="H63" s="450" t="s">
        <v>20</v>
      </c>
      <c r="I63" s="451">
        <v>0</v>
      </c>
      <c r="J63" s="495">
        <v>4</v>
      </c>
      <c r="K63" s="506">
        <f>38000/4</f>
        <v>9500</v>
      </c>
      <c r="L63" s="381">
        <v>0</v>
      </c>
      <c r="M63" s="307">
        <v>0</v>
      </c>
      <c r="N63" s="422">
        <f t="shared" si="2"/>
        <v>1</v>
      </c>
      <c r="O63" s="56">
        <f t="shared" si="4"/>
        <v>38000</v>
      </c>
      <c r="P63" s="425">
        <f t="shared" si="0"/>
        <v>38000</v>
      </c>
      <c r="Q63" s="422">
        <f t="shared" si="3"/>
        <v>1</v>
      </c>
      <c r="R63" s="424" t="str">
        <f t="shared" si="1"/>
        <v>เพิ่มขึ้น</v>
      </c>
      <c r="S63" s="433" t="s">
        <v>632</v>
      </c>
      <c r="T63" s="22"/>
      <c r="U63" s="23"/>
      <c r="V63" s="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row>
    <row r="64" spans="2:241" s="16" customFormat="1" ht="31.5" hidden="1" customHeight="1" x14ac:dyDescent="0.3">
      <c r="B64" s="600"/>
      <c r="C64" s="395" t="s">
        <v>149</v>
      </c>
      <c r="D64" s="10">
        <v>1800011014</v>
      </c>
      <c r="E64" s="520" t="s">
        <v>187</v>
      </c>
      <c r="F64" s="598" t="s">
        <v>188</v>
      </c>
      <c r="G64" s="599"/>
      <c r="H64" s="450" t="s">
        <v>20</v>
      </c>
      <c r="I64" s="451">
        <v>0</v>
      </c>
      <c r="J64" s="495">
        <v>4</v>
      </c>
      <c r="K64" s="506">
        <v>60000</v>
      </c>
      <c r="L64" s="381">
        <v>0</v>
      </c>
      <c r="M64" s="307">
        <v>0</v>
      </c>
      <c r="N64" s="422">
        <f t="shared" si="2"/>
        <v>1</v>
      </c>
      <c r="O64" s="56">
        <f t="shared" si="4"/>
        <v>240000</v>
      </c>
      <c r="P64" s="425">
        <f t="shared" si="0"/>
        <v>240000</v>
      </c>
      <c r="Q64" s="422">
        <f t="shared" si="3"/>
        <v>1</v>
      </c>
      <c r="R64" s="424" t="str">
        <f t="shared" si="1"/>
        <v>เพิ่มขึ้น</v>
      </c>
      <c r="S64" s="433" t="s">
        <v>630</v>
      </c>
      <c r="T64" s="22"/>
      <c r="U64" s="23"/>
      <c r="V64" s="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row>
    <row r="65" spans="2:241" s="16" customFormat="1" ht="22.5" hidden="1" customHeight="1" x14ac:dyDescent="0.3">
      <c r="B65" s="600"/>
      <c r="C65" s="395" t="s">
        <v>180</v>
      </c>
      <c r="D65" s="10" t="s">
        <v>189</v>
      </c>
      <c r="E65" s="520" t="s">
        <v>190</v>
      </c>
      <c r="F65" s="598" t="s">
        <v>191</v>
      </c>
      <c r="G65" s="599"/>
      <c r="H65" s="453">
        <v>1</v>
      </c>
      <c r="I65" s="454">
        <f>'สรุปใช้งบ 31กค'!H36</f>
        <v>38000</v>
      </c>
      <c r="J65" s="497">
        <v>30</v>
      </c>
      <c r="K65" s="516">
        <f>'[24]ราคาครุภัณฑ์ IT ปี 70'!$E$7</f>
        <v>62400</v>
      </c>
      <c r="L65" s="381">
        <f>'สรุปใช้งบ 31กค'!H36</f>
        <v>38000</v>
      </c>
      <c r="M65" s="307">
        <f>L65</f>
        <v>38000</v>
      </c>
      <c r="N65" s="422">
        <f t="shared" si="2"/>
        <v>0</v>
      </c>
      <c r="O65" s="56">
        <f t="shared" si="4"/>
        <v>1872000</v>
      </c>
      <c r="P65" s="425">
        <f t="shared" si="0"/>
        <v>1834000</v>
      </c>
      <c r="Q65" s="422">
        <f t="shared" si="3"/>
        <v>48.263157894736842</v>
      </c>
      <c r="R65" s="424" t="str">
        <f t="shared" si="1"/>
        <v>เพิ่มขึ้น</v>
      </c>
      <c r="S65" s="439" t="s">
        <v>631</v>
      </c>
      <c r="T65" s="24"/>
      <c r="U65" s="23"/>
      <c r="V65" s="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row>
    <row r="66" spans="2:241" s="16" customFormat="1" ht="22.5" hidden="1" customHeight="1" x14ac:dyDescent="0.3">
      <c r="B66" s="430" t="s">
        <v>192</v>
      </c>
      <c r="C66" s="395"/>
      <c r="D66" s="10" t="s">
        <v>193</v>
      </c>
      <c r="E66" s="520" t="s">
        <v>194</v>
      </c>
      <c r="F66" s="662" t="s">
        <v>195</v>
      </c>
      <c r="G66" s="663"/>
      <c r="H66" s="450" t="s">
        <v>20</v>
      </c>
      <c r="I66" s="451">
        <v>0</v>
      </c>
      <c r="J66" s="495">
        <f>[23]แบบสำรวจอุปกรณ์!$AB$13</f>
        <v>1</v>
      </c>
      <c r="K66" s="498">
        <v>160700</v>
      </c>
      <c r="L66" s="381">
        <v>0</v>
      </c>
      <c r="M66" s="307">
        <v>0</v>
      </c>
      <c r="N66" s="422">
        <f t="shared" si="2"/>
        <v>1</v>
      </c>
      <c r="O66" s="56">
        <f t="shared" si="4"/>
        <v>160700</v>
      </c>
      <c r="P66" s="425">
        <f t="shared" si="0"/>
        <v>160700</v>
      </c>
      <c r="Q66" s="422">
        <f t="shared" si="3"/>
        <v>1</v>
      </c>
      <c r="R66" s="424" t="str">
        <f t="shared" si="1"/>
        <v>เพิ่มขึ้น</v>
      </c>
      <c r="S66" s="439" t="s">
        <v>196</v>
      </c>
      <c r="T66" s="22"/>
      <c r="U66" s="23"/>
      <c r="V66" s="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row>
    <row r="67" spans="2:241" s="16" customFormat="1" ht="22.5" hidden="1" customHeight="1" x14ac:dyDescent="0.3">
      <c r="B67" s="46" t="s">
        <v>197</v>
      </c>
      <c r="C67" s="395" t="s">
        <v>180</v>
      </c>
      <c r="D67" s="492"/>
      <c r="E67" s="520" t="s">
        <v>198</v>
      </c>
      <c r="F67" s="598" t="s">
        <v>199</v>
      </c>
      <c r="G67" s="599"/>
      <c r="H67" s="450" t="s">
        <v>20</v>
      </c>
      <c r="I67" s="451">
        <v>0</v>
      </c>
      <c r="J67" s="495">
        <v>5</v>
      </c>
      <c r="K67" s="506">
        <f>ROUNDUP((363800/5)*105%,-4)</f>
        <v>80000</v>
      </c>
      <c r="L67" s="381">
        <v>0</v>
      </c>
      <c r="M67" s="307">
        <v>0</v>
      </c>
      <c r="N67" s="422">
        <f t="shared" si="2"/>
        <v>1</v>
      </c>
      <c r="O67" s="56">
        <f t="shared" si="4"/>
        <v>400000</v>
      </c>
      <c r="P67" s="425">
        <f t="shared" si="0"/>
        <v>400000</v>
      </c>
      <c r="Q67" s="422">
        <f t="shared" si="3"/>
        <v>1</v>
      </c>
      <c r="R67" s="424" t="str">
        <f t="shared" si="1"/>
        <v>เพิ่มขึ้น</v>
      </c>
      <c r="S67" s="433" t="s">
        <v>200</v>
      </c>
      <c r="T67" s="22"/>
      <c r="U67" s="23"/>
      <c r="V67" s="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c r="GM67" s="15"/>
      <c r="GN67" s="15"/>
      <c r="GO67" s="15"/>
      <c r="GP67" s="15"/>
      <c r="GQ67" s="15"/>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c r="IG67" s="15"/>
    </row>
    <row r="68" spans="2:241" s="16" customFormat="1" ht="22.5" hidden="1" customHeight="1" x14ac:dyDescent="0.3">
      <c r="B68" s="46"/>
      <c r="C68" s="395" t="s">
        <v>180</v>
      </c>
      <c r="D68" s="10">
        <v>1800007024</v>
      </c>
      <c r="E68" s="520" t="s">
        <v>201</v>
      </c>
      <c r="F68" s="662" t="s">
        <v>202</v>
      </c>
      <c r="G68" s="664"/>
      <c r="H68" s="450" t="s">
        <v>20</v>
      </c>
      <c r="I68" s="451">
        <v>0</v>
      </c>
      <c r="J68" s="495">
        <f>[23]แบบสำรวจอุปกรณ์!$AB$19</f>
        <v>6</v>
      </c>
      <c r="K68" s="506">
        <v>13333.333333333334</v>
      </c>
      <c r="L68" s="381">
        <v>0</v>
      </c>
      <c r="M68" s="307">
        <v>0</v>
      </c>
      <c r="N68" s="416">
        <f t="shared" si="2"/>
        <v>1</v>
      </c>
      <c r="O68" s="56">
        <f t="shared" si="4"/>
        <v>80000</v>
      </c>
      <c r="P68" s="425">
        <f t="shared" si="0"/>
        <v>80000</v>
      </c>
      <c r="Q68" s="422">
        <f t="shared" si="3"/>
        <v>1</v>
      </c>
      <c r="R68" s="424" t="str">
        <f t="shared" si="1"/>
        <v>เพิ่มขึ้น</v>
      </c>
      <c r="S68" s="433" t="s">
        <v>203</v>
      </c>
      <c r="T68" s="22"/>
      <c r="U68" s="23"/>
      <c r="V68" s="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c r="IG68" s="15"/>
    </row>
    <row r="69" spans="2:241" s="16" customFormat="1" ht="39" hidden="1" customHeight="1" x14ac:dyDescent="0.3">
      <c r="B69" s="387"/>
      <c r="C69" s="395" t="s">
        <v>204</v>
      </c>
      <c r="D69" s="382" t="s">
        <v>205</v>
      </c>
      <c r="E69" s="504" t="s">
        <v>206</v>
      </c>
      <c r="F69" s="605" t="s">
        <v>207</v>
      </c>
      <c r="G69" s="606"/>
      <c r="H69" s="455">
        <v>1</v>
      </c>
      <c r="I69" s="456">
        <f>'สรุปใช้งบ 31กค'!L37</f>
        <v>8000</v>
      </c>
      <c r="J69" s="455" t="s">
        <v>20</v>
      </c>
      <c r="K69" s="457">
        <v>0</v>
      </c>
      <c r="L69" s="390">
        <f>I69</f>
        <v>8000</v>
      </c>
      <c r="M69" s="384">
        <f>'สรุปใช้งบ 31กค'!P37</f>
        <v>0</v>
      </c>
      <c r="N69" s="468">
        <f t="shared" ref="N69:N80" si="6">IFERROR(D69/C69-1,1)</f>
        <v>1</v>
      </c>
      <c r="O69" s="385">
        <v>0</v>
      </c>
      <c r="P69" s="388">
        <v>0</v>
      </c>
      <c r="Q69" s="468">
        <f t="shared" si="3"/>
        <v>-1</v>
      </c>
      <c r="R69" s="49" t="str">
        <f t="shared" ref="R69:R71" si="7">IF(O69&gt;L69,"เพิ่มขึ้น",IF(O69&lt;L69,"ลดลง",IF(O69=L69,"--")))</f>
        <v>ลดลง</v>
      </c>
      <c r="S69" s="517" t="str">
        <f>'สรุปใช้งบ 31กค'!S37</f>
        <v>1.รอง ผอ. อนุมัติ PR แล้ว เมื่อ 2 เม.ย. 69
2.คาดว่าจะได้ PC Q4
3.EPR ใหม่ งบจออยู่ที่ส่วนงาน (PC NB ฝทส.จัดหา)</v>
      </c>
      <c r="T69" s="391" t="str">
        <f t="shared" ref="T69:U80" si="8">J69</f>
        <v xml:space="preserve"> --</v>
      </c>
      <c r="U69" s="392">
        <f t="shared" si="8"/>
        <v>0</v>
      </c>
      <c r="V69" s="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c r="GM69" s="15"/>
      <c r="GN69" s="15"/>
      <c r="GO69" s="15"/>
      <c r="GP69" s="15"/>
      <c r="GQ69" s="15"/>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c r="IG69" s="15"/>
    </row>
    <row r="70" spans="2:241" s="16" customFormat="1" ht="34.049999999999997" hidden="1" customHeight="1" x14ac:dyDescent="0.3">
      <c r="B70" s="387"/>
      <c r="C70" s="395" t="s">
        <v>204</v>
      </c>
      <c r="D70" s="382" t="str">
        <f>'สรุปใช้งบ 31กค'!B38</f>
        <v>1800016008</v>
      </c>
      <c r="E70" s="504" t="s">
        <v>208</v>
      </c>
      <c r="F70" s="660" t="s">
        <v>209</v>
      </c>
      <c r="G70" s="661"/>
      <c r="H70" s="458">
        <v>21</v>
      </c>
      <c r="I70" s="459">
        <f>L70/H70</f>
        <v>32285.714285714286</v>
      </c>
      <c r="J70" s="455" t="s">
        <v>20</v>
      </c>
      <c r="K70" s="457">
        <v>0</v>
      </c>
      <c r="L70" s="383">
        <f>'สรุปใช้งบ 31กค'!H38</f>
        <v>678000</v>
      </c>
      <c r="M70" s="386">
        <f>'สรุปใช้งบ 31กค'!L38</f>
        <v>0</v>
      </c>
      <c r="N70" s="468">
        <f t="shared" si="6"/>
        <v>1</v>
      </c>
      <c r="O70" s="385">
        <v>0</v>
      </c>
      <c r="P70" s="388">
        <v>0</v>
      </c>
      <c r="Q70" s="468">
        <f t="shared" si="3"/>
        <v>-1</v>
      </c>
      <c r="R70" s="49" t="str">
        <f t="shared" si="7"/>
        <v>ลดลง</v>
      </c>
      <c r="S70" s="517" t="str">
        <f>'สรุปใช้งบ 31กค'!S38</f>
        <v>1.กำลังทำ PR
2.คาดว่าเซ็นสัญญา เดือน ก.ย. 69
3.มีบริษัทน้อย จึงใช้วิธีคัดเลือก</v>
      </c>
      <c r="T70" s="391" t="str">
        <f t="shared" si="8"/>
        <v xml:space="preserve"> --</v>
      </c>
      <c r="U70" s="392">
        <f t="shared" si="8"/>
        <v>0</v>
      </c>
      <c r="V70" s="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15"/>
      <c r="HQ70" s="15"/>
      <c r="HR70" s="15"/>
      <c r="HS70" s="15"/>
      <c r="HT70" s="15"/>
      <c r="HU70" s="15"/>
      <c r="HV70" s="15"/>
      <c r="HW70" s="15"/>
      <c r="HX70" s="15"/>
      <c r="HY70" s="15"/>
      <c r="HZ70" s="15"/>
      <c r="IA70" s="15"/>
      <c r="IB70" s="15"/>
      <c r="IC70" s="15"/>
      <c r="ID70" s="15"/>
      <c r="IE70" s="15"/>
      <c r="IF70" s="15"/>
      <c r="IG70" s="15"/>
    </row>
    <row r="71" spans="2:241" s="16" customFormat="1" ht="22.5" hidden="1" customHeight="1" x14ac:dyDescent="0.3">
      <c r="B71" s="600"/>
      <c r="C71" s="395" t="s">
        <v>204</v>
      </c>
      <c r="D71" s="619" t="str">
        <f>'สรุปใช้งบ 31กค'!B39</f>
        <v>1800014020</v>
      </c>
      <c r="E71" s="504" t="s">
        <v>210</v>
      </c>
      <c r="F71" s="660" t="s">
        <v>211</v>
      </c>
      <c r="G71" s="661"/>
      <c r="H71" s="458">
        <v>3</v>
      </c>
      <c r="I71" s="609">
        <f>'สรุปใช้งบ 31กค'!H39</f>
        <v>23000</v>
      </c>
      <c r="J71" s="455" t="s">
        <v>20</v>
      </c>
      <c r="K71" s="457">
        <v>0</v>
      </c>
      <c r="L71" s="611">
        <f>I71</f>
        <v>23000</v>
      </c>
      <c r="M71" s="615">
        <f>'สรุปใช้งบ 31กค'!M39</f>
        <v>0</v>
      </c>
      <c r="N71" s="468">
        <f t="shared" si="6"/>
        <v>1</v>
      </c>
      <c r="O71" s="385">
        <v>0</v>
      </c>
      <c r="P71" s="388">
        <v>0</v>
      </c>
      <c r="Q71" s="468">
        <f t="shared" ref="Q71:Q81" si="9">IFERROR(O71/L71-1,1)</f>
        <v>-1</v>
      </c>
      <c r="R71" s="613" t="str">
        <f t="shared" si="7"/>
        <v>ลดลง</v>
      </c>
      <c r="S71" s="607" t="str">
        <f>'สรุปใช้งบ 31กค'!S39</f>
        <v>1.ได้แบบมาพร้อมราคา ทั้งสองอย่าง 
2.รอหารือและเลือกแบบที่ต้องการ
3.คาดว่าได้ของ ปลายเดือน มิ.ย.- ต้น ก.ค. 69</v>
      </c>
      <c r="T71" s="391" t="str">
        <f t="shared" si="8"/>
        <v xml:space="preserve"> --</v>
      </c>
      <c r="U71" s="392">
        <f t="shared" si="8"/>
        <v>0</v>
      </c>
      <c r="V71" s="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15"/>
      <c r="HQ71" s="15"/>
      <c r="HR71" s="15"/>
      <c r="HS71" s="15"/>
      <c r="HT71" s="15"/>
      <c r="HU71" s="15"/>
      <c r="HV71" s="15"/>
      <c r="HW71" s="15"/>
      <c r="HX71" s="15"/>
      <c r="HY71" s="15"/>
      <c r="HZ71" s="15"/>
      <c r="IA71" s="15"/>
      <c r="IB71" s="15"/>
      <c r="IC71" s="15"/>
      <c r="ID71" s="15"/>
      <c r="IE71" s="15"/>
      <c r="IF71" s="15"/>
      <c r="IG71" s="15"/>
    </row>
    <row r="72" spans="2:241" s="16" customFormat="1" ht="22.5" hidden="1" customHeight="1" x14ac:dyDescent="0.3">
      <c r="B72" s="600"/>
      <c r="C72" s="395" t="s">
        <v>204</v>
      </c>
      <c r="D72" s="620"/>
      <c r="E72" s="504" t="s">
        <v>212</v>
      </c>
      <c r="F72" s="605" t="s">
        <v>213</v>
      </c>
      <c r="G72" s="606"/>
      <c r="H72" s="458">
        <v>1</v>
      </c>
      <c r="I72" s="610"/>
      <c r="J72" s="455" t="s">
        <v>20</v>
      </c>
      <c r="K72" s="457">
        <v>0</v>
      </c>
      <c r="L72" s="612"/>
      <c r="M72" s="616"/>
      <c r="N72" s="468">
        <f t="shared" si="6"/>
        <v>1</v>
      </c>
      <c r="O72" s="385">
        <v>0</v>
      </c>
      <c r="P72" s="388">
        <v>0</v>
      </c>
      <c r="Q72" s="468">
        <f t="shared" si="9"/>
        <v>1</v>
      </c>
      <c r="R72" s="614"/>
      <c r="S72" s="608"/>
      <c r="T72" s="391" t="str">
        <f t="shared" si="8"/>
        <v xml:space="preserve"> --</v>
      </c>
      <c r="U72" s="392">
        <f t="shared" si="8"/>
        <v>0</v>
      </c>
      <c r="V72" s="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c r="GM72" s="15"/>
      <c r="GN72" s="15"/>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15"/>
      <c r="HQ72" s="15"/>
      <c r="HR72" s="15"/>
      <c r="HS72" s="15"/>
      <c r="HT72" s="15"/>
      <c r="HU72" s="15"/>
      <c r="HV72" s="15"/>
      <c r="HW72" s="15"/>
      <c r="HX72" s="15"/>
      <c r="HY72" s="15"/>
      <c r="HZ72" s="15"/>
      <c r="IA72" s="15"/>
      <c r="IB72" s="15"/>
      <c r="IC72" s="15"/>
      <c r="ID72" s="15"/>
      <c r="IE72" s="15"/>
      <c r="IF72" s="15"/>
      <c r="IG72" s="15"/>
    </row>
    <row r="73" spans="2:241" s="16" customFormat="1" ht="25.05" hidden="1" customHeight="1" x14ac:dyDescent="0.3">
      <c r="B73" s="600"/>
      <c r="C73" s="395" t="s">
        <v>204</v>
      </c>
      <c r="D73" s="382" t="str">
        <f>'สรุปใช้งบ 31กค'!B40</f>
        <v>1800014095</v>
      </c>
      <c r="E73" s="504" t="s">
        <v>214</v>
      </c>
      <c r="F73" s="660" t="s">
        <v>215</v>
      </c>
      <c r="G73" s="661"/>
      <c r="H73" s="458">
        <v>1</v>
      </c>
      <c r="I73" s="459">
        <f>'สรุปใช้งบ 31กค'!H40</f>
        <v>11000</v>
      </c>
      <c r="J73" s="455" t="s">
        <v>20</v>
      </c>
      <c r="K73" s="457">
        <v>0</v>
      </c>
      <c r="L73" s="379">
        <f>I73</f>
        <v>11000</v>
      </c>
      <c r="M73" s="384">
        <f>'สรุปใช้งบ 31กค'!L40</f>
        <v>0</v>
      </c>
      <c r="N73" s="468">
        <f t="shared" si="6"/>
        <v>1</v>
      </c>
      <c r="O73" s="385">
        <v>0</v>
      </c>
      <c r="P73" s="388">
        <v>0</v>
      </c>
      <c r="Q73" s="468">
        <f t="shared" si="9"/>
        <v>-1</v>
      </c>
      <c r="R73" s="49" t="str">
        <f t="shared" ref="R73:R81" si="10">IF(O73&gt;L73,"เพิ่มขึ้น",IF(O73&lt;L73,"ลดลง",IF(O73=L73,"--")))</f>
        <v>ลดลง</v>
      </c>
      <c r="S73" s="517" t="str">
        <f>'สรุปใช้งบ 31กค'!S40</f>
        <v>อยู่ระหว่างขอใบเสนอราคา 3 ราย 
เพื่อส่งให้ ฝทส.จัดหา</v>
      </c>
      <c r="T73" s="391" t="str">
        <f t="shared" si="8"/>
        <v xml:space="preserve"> --</v>
      </c>
      <c r="U73" s="392">
        <f t="shared" si="8"/>
        <v>0</v>
      </c>
      <c r="V73" s="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c r="IG73" s="15"/>
    </row>
    <row r="74" spans="2:241" s="16" customFormat="1" ht="25.05" hidden="1" customHeight="1" x14ac:dyDescent="0.3">
      <c r="B74" s="600"/>
      <c r="C74" s="395" t="s">
        <v>204</v>
      </c>
      <c r="D74" s="382" t="str">
        <f>'สรุปใช้งบ 31กค'!B41</f>
        <v>1800025016</v>
      </c>
      <c r="E74" s="504" t="s">
        <v>216</v>
      </c>
      <c r="F74" s="617" t="s">
        <v>217</v>
      </c>
      <c r="G74" s="617"/>
      <c r="H74" s="458">
        <v>1</v>
      </c>
      <c r="I74" s="459">
        <f>'สรุปใช้งบ 31กค'!H41</f>
        <v>112000</v>
      </c>
      <c r="J74" s="455" t="s">
        <v>20</v>
      </c>
      <c r="K74" s="457">
        <v>0</v>
      </c>
      <c r="L74" s="383">
        <f>I74</f>
        <v>112000</v>
      </c>
      <c r="M74" s="383">
        <f>'สรุปใช้งบ 31กค'!L41</f>
        <v>105000</v>
      </c>
      <c r="N74" s="468">
        <f t="shared" si="6"/>
        <v>1</v>
      </c>
      <c r="O74" s="385">
        <v>0</v>
      </c>
      <c r="P74" s="388">
        <v>0</v>
      </c>
      <c r="Q74" s="468">
        <f t="shared" si="9"/>
        <v>-1</v>
      </c>
      <c r="R74" s="49" t="str">
        <f t="shared" si="10"/>
        <v>ลดลง</v>
      </c>
      <c r="S74" s="517" t="str">
        <f>'สรุปใช้งบ 31กค'!S41</f>
        <v>1.รอง ผอ.อนุมัติ PR แล้ว เมื่อ 6 มิ.ย. 69
2.คาดว่าได้รับของ ปลายเดือน มิ.ย.</v>
      </c>
      <c r="T74" s="391" t="str">
        <f t="shared" si="8"/>
        <v xml:space="preserve"> --</v>
      </c>
      <c r="U74" s="392">
        <f t="shared" si="8"/>
        <v>0</v>
      </c>
      <c r="V74" s="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GT74" s="15"/>
      <c r="GU74" s="15"/>
      <c r="GV74" s="15"/>
      <c r="GW74" s="15"/>
      <c r="GX74" s="15"/>
      <c r="GY74" s="15"/>
      <c r="GZ74" s="15"/>
      <c r="HA74" s="15"/>
      <c r="HB74" s="15"/>
      <c r="HC74" s="15"/>
      <c r="HD74" s="15"/>
      <c r="HE74" s="15"/>
      <c r="HF74" s="15"/>
      <c r="HG74" s="15"/>
      <c r="HH74" s="15"/>
      <c r="HI74" s="15"/>
      <c r="HJ74" s="15"/>
      <c r="HK74" s="15"/>
      <c r="HL74" s="15"/>
      <c r="HM74" s="15"/>
      <c r="HN74" s="15"/>
      <c r="HO74" s="15"/>
      <c r="HP74" s="15"/>
      <c r="HQ74" s="15"/>
      <c r="HR74" s="15"/>
      <c r="HS74" s="15"/>
      <c r="HT74" s="15"/>
      <c r="HU74" s="15"/>
      <c r="HV74" s="15"/>
      <c r="HW74" s="15"/>
      <c r="HX74" s="15"/>
      <c r="HY74" s="15"/>
      <c r="HZ74" s="15"/>
      <c r="IA74" s="15"/>
      <c r="IB74" s="15"/>
      <c r="IC74" s="15"/>
      <c r="ID74" s="15"/>
      <c r="IE74" s="15"/>
      <c r="IF74" s="15"/>
      <c r="IG74" s="15"/>
    </row>
    <row r="75" spans="2:241" s="16" customFormat="1" ht="25.05" hidden="1" customHeight="1" x14ac:dyDescent="0.3">
      <c r="B75" s="600"/>
      <c r="C75" s="395" t="s">
        <v>204</v>
      </c>
      <c r="D75" s="382" t="str">
        <f>'สรุปใช้งบ 31กค'!B42</f>
        <v>1800009004</v>
      </c>
      <c r="E75" s="504" t="s">
        <v>218</v>
      </c>
      <c r="F75" s="617" t="s">
        <v>219</v>
      </c>
      <c r="G75" s="617"/>
      <c r="H75" s="455">
        <v>1</v>
      </c>
      <c r="I75" s="460">
        <f>L75</f>
        <v>310000</v>
      </c>
      <c r="J75" s="455" t="s">
        <v>20</v>
      </c>
      <c r="K75" s="457">
        <v>0</v>
      </c>
      <c r="L75" s="379">
        <f>'สรุปใช้งบ 31กค'!H42</f>
        <v>310000</v>
      </c>
      <c r="M75" s="42">
        <f>'สรุปใช้งบ 31กค'!L42</f>
        <v>256800</v>
      </c>
      <c r="N75" s="468">
        <f t="shared" si="6"/>
        <v>1</v>
      </c>
      <c r="O75" s="385">
        <v>0</v>
      </c>
      <c r="P75" s="388">
        <v>0</v>
      </c>
      <c r="Q75" s="468">
        <f t="shared" si="9"/>
        <v>-1</v>
      </c>
      <c r="R75" s="49" t="str">
        <f t="shared" si="10"/>
        <v>ลดลง</v>
      </c>
      <c r="S75" s="518" t="str">
        <f>'สรุปใช้งบ 31กค'!S42</f>
        <v xml:space="preserve">1.รอง ผอ.อนุมัติ PR แล้ว เมื่อ 27 ก.ค. 69
2.คาดว่าเซ็นสัญญาไม่เกิน เดือน ส.ค. 69 </v>
      </c>
      <c r="T75" s="391" t="str">
        <f t="shared" si="8"/>
        <v xml:space="preserve"> --</v>
      </c>
      <c r="U75" s="392">
        <f t="shared" si="8"/>
        <v>0</v>
      </c>
      <c r="V75" s="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c r="HV75" s="15"/>
      <c r="HW75" s="15"/>
      <c r="HX75" s="15"/>
      <c r="HY75" s="15"/>
      <c r="HZ75" s="15"/>
      <c r="IA75" s="15"/>
      <c r="IB75" s="15"/>
      <c r="IC75" s="15"/>
      <c r="ID75" s="15"/>
      <c r="IE75" s="15"/>
      <c r="IF75" s="15"/>
      <c r="IG75" s="15"/>
    </row>
    <row r="76" spans="2:241" s="16" customFormat="1" ht="25.05" hidden="1" customHeight="1" x14ac:dyDescent="0.3">
      <c r="B76" s="600"/>
      <c r="C76" s="395" t="s">
        <v>204</v>
      </c>
      <c r="D76" s="382" t="str">
        <f>'สรุปใช้งบ 31กค'!B43</f>
        <v>1800009031</v>
      </c>
      <c r="E76" s="504" t="s">
        <v>220</v>
      </c>
      <c r="F76" s="617" t="s">
        <v>221</v>
      </c>
      <c r="G76" s="617"/>
      <c r="H76" s="455">
        <v>7</v>
      </c>
      <c r="I76" s="460">
        <f t="shared" ref="I76:I77" si="11">L76</f>
        <v>56000</v>
      </c>
      <c r="J76" s="455" t="s">
        <v>20</v>
      </c>
      <c r="K76" s="457">
        <v>0</v>
      </c>
      <c r="L76" s="379">
        <f>'สรุปใช้งบ 31กค'!H43</f>
        <v>56000</v>
      </c>
      <c r="M76" s="42">
        <f>'สรุปใช้งบ 31กค'!L43</f>
        <v>48685</v>
      </c>
      <c r="N76" s="468">
        <f t="shared" si="6"/>
        <v>1</v>
      </c>
      <c r="O76" s="385">
        <v>0</v>
      </c>
      <c r="P76" s="388">
        <v>0</v>
      </c>
      <c r="Q76" s="468">
        <f t="shared" si="9"/>
        <v>-1</v>
      </c>
      <c r="R76" s="49" t="str">
        <f t="shared" si="10"/>
        <v>ลดลง</v>
      </c>
      <c r="S76" s="519" t="str">
        <f>'สรุปใช้งบ 31กค'!S42</f>
        <v xml:space="preserve">1.รอง ผอ.อนุมัติ PR แล้ว เมื่อ 27 ก.ค. 69
2.คาดว่าเซ็นสัญญาไม่เกิน เดือน ส.ค. 69 </v>
      </c>
      <c r="T76" s="391" t="str">
        <f t="shared" si="8"/>
        <v xml:space="preserve"> --</v>
      </c>
      <c r="U76" s="392">
        <f t="shared" si="8"/>
        <v>0</v>
      </c>
      <c r="V76" s="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c r="GO76" s="15"/>
      <c r="GP76" s="15"/>
      <c r="GQ76" s="15"/>
      <c r="GR76" s="15"/>
      <c r="GS76" s="15"/>
      <c r="GT76" s="15"/>
      <c r="GU76" s="15"/>
      <c r="GV76" s="15"/>
      <c r="GW76" s="15"/>
      <c r="GX76" s="15"/>
      <c r="GY76" s="15"/>
      <c r="GZ76" s="15"/>
      <c r="HA76" s="15"/>
      <c r="HB76" s="15"/>
      <c r="HC76" s="15"/>
      <c r="HD76" s="15"/>
      <c r="HE76" s="15"/>
      <c r="HF76" s="15"/>
      <c r="HG76" s="15"/>
      <c r="HH76" s="15"/>
      <c r="HI76" s="15"/>
      <c r="HJ76" s="15"/>
      <c r="HK76" s="15"/>
      <c r="HL76" s="15"/>
      <c r="HM76" s="15"/>
      <c r="HN76" s="15"/>
      <c r="HO76" s="15"/>
      <c r="HP76" s="15"/>
      <c r="HQ76" s="15"/>
      <c r="HR76" s="15"/>
      <c r="HS76" s="15"/>
      <c r="HT76" s="15"/>
      <c r="HU76" s="15"/>
      <c r="HV76" s="15"/>
      <c r="HW76" s="15"/>
      <c r="HX76" s="15"/>
      <c r="HY76" s="15"/>
      <c r="HZ76" s="15"/>
      <c r="IA76" s="15"/>
      <c r="IB76" s="15"/>
      <c r="IC76" s="15"/>
      <c r="ID76" s="15"/>
      <c r="IE76" s="15"/>
      <c r="IF76" s="15"/>
      <c r="IG76" s="15"/>
    </row>
    <row r="77" spans="2:241" s="16" customFormat="1" ht="36.700000000000003" hidden="1" customHeight="1" x14ac:dyDescent="0.3">
      <c r="B77" s="600"/>
      <c r="C77" s="395" t="s">
        <v>204</v>
      </c>
      <c r="D77" s="382" t="str">
        <f>'สรุปใช้งบ 31กค'!B46</f>
        <v>1800009013</v>
      </c>
      <c r="E77" s="504" t="s">
        <v>222</v>
      </c>
      <c r="F77" s="605" t="s">
        <v>223</v>
      </c>
      <c r="G77" s="606"/>
      <c r="H77" s="455">
        <v>8</v>
      </c>
      <c r="I77" s="460">
        <f t="shared" si="11"/>
        <v>1753800</v>
      </c>
      <c r="J77" s="455" t="s">
        <v>20</v>
      </c>
      <c r="K77" s="457">
        <v>0</v>
      </c>
      <c r="L77" s="379">
        <f>'สรุปใช้งบ 31กค'!H46</f>
        <v>1753800</v>
      </c>
      <c r="M77" s="42">
        <f>'สรุปใช้งบ 31กค'!L46</f>
        <v>1430000</v>
      </c>
      <c r="N77" s="468">
        <f t="shared" si="6"/>
        <v>1</v>
      </c>
      <c r="O77" s="385">
        <v>0</v>
      </c>
      <c r="P77" s="388">
        <v>0</v>
      </c>
      <c r="Q77" s="468">
        <f t="shared" si="9"/>
        <v>-1</v>
      </c>
      <c r="R77" s="49" t="str">
        <f t="shared" si="10"/>
        <v>ลดลง</v>
      </c>
      <c r="S77" s="519" t="str">
        <f>'สรุปใช้งบ 31กค'!S46</f>
        <v>1.ผอ.อนุมัติ PR แล้ว เมื่อ 15 พ.ค. 69
2.คาดว่าเซ็นสัญญาไม่เกิน เดือน ส.ค. 69 
3.งบเหลือ 3.2 แสนบาท</v>
      </c>
      <c r="T77" s="391" t="str">
        <f t="shared" si="8"/>
        <v xml:space="preserve"> --</v>
      </c>
      <c r="U77" s="392">
        <f t="shared" si="8"/>
        <v>0</v>
      </c>
      <c r="V77" s="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15"/>
      <c r="HQ77" s="15"/>
      <c r="HR77" s="15"/>
      <c r="HS77" s="15"/>
      <c r="HT77" s="15"/>
      <c r="HU77" s="15"/>
      <c r="HV77" s="15"/>
      <c r="HW77" s="15"/>
      <c r="HX77" s="15"/>
      <c r="HY77" s="15"/>
      <c r="HZ77" s="15"/>
      <c r="IA77" s="15"/>
      <c r="IB77" s="15"/>
      <c r="IC77" s="15"/>
      <c r="ID77" s="15"/>
      <c r="IE77" s="15"/>
      <c r="IF77" s="15"/>
      <c r="IG77" s="15"/>
    </row>
    <row r="78" spans="2:241" s="16" customFormat="1" ht="35.200000000000003" hidden="1" customHeight="1" x14ac:dyDescent="0.3">
      <c r="B78" s="600"/>
      <c r="C78" s="395" t="s">
        <v>204</v>
      </c>
      <c r="D78" s="382" t="str">
        <f>'สรุปใช้งบ 31กค'!B47</f>
        <v>2802609007</v>
      </c>
      <c r="E78" s="504" t="s">
        <v>224</v>
      </c>
      <c r="F78" s="617" t="s">
        <v>225</v>
      </c>
      <c r="G78" s="617"/>
      <c r="H78" s="455">
        <v>1</v>
      </c>
      <c r="I78" s="460">
        <f>'สรุปใช้งบ 31กค'!H47</f>
        <v>13369200</v>
      </c>
      <c r="J78" s="455" t="s">
        <v>20</v>
      </c>
      <c r="K78" s="457">
        <v>0</v>
      </c>
      <c r="L78" s="379">
        <f>'สรุปใช้งบ 31กค'!H47</f>
        <v>13369200</v>
      </c>
      <c r="M78" s="389">
        <f>'สรุปใช้งบ 31กค'!L47</f>
        <v>13100000</v>
      </c>
      <c r="N78" s="468">
        <f t="shared" si="6"/>
        <v>1</v>
      </c>
      <c r="O78" s="385">
        <v>0</v>
      </c>
      <c r="P78" s="388">
        <v>0</v>
      </c>
      <c r="Q78" s="468">
        <f t="shared" si="9"/>
        <v>-1</v>
      </c>
      <c r="R78" s="49" t="str">
        <f t="shared" si="10"/>
        <v>ลดลง</v>
      </c>
      <c r="S78" s="519" t="str">
        <f>'สรุปใช้งบ 31กค'!S47</f>
        <v>1.ผอ.อนุมัติ PR แล้ว เมื่อ 21 พ.ค. 69
2.คาดว่าเซ็นสัญญาไม่เกิน เดือน ส.ค. 69 
3.งบเหลือ 2.7 แสนบาท</v>
      </c>
      <c r="T78" s="391" t="str">
        <f t="shared" si="8"/>
        <v xml:space="preserve"> --</v>
      </c>
      <c r="U78" s="392">
        <f t="shared" si="8"/>
        <v>0</v>
      </c>
      <c r="V78" s="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c r="HN78" s="15"/>
      <c r="HO78" s="15"/>
      <c r="HP78" s="15"/>
      <c r="HQ78" s="15"/>
      <c r="HR78" s="15"/>
      <c r="HS78" s="15"/>
      <c r="HT78" s="15"/>
      <c r="HU78" s="15"/>
      <c r="HV78" s="15"/>
      <c r="HW78" s="15"/>
      <c r="HX78" s="15"/>
      <c r="HY78" s="15"/>
      <c r="HZ78" s="15"/>
      <c r="IA78" s="15"/>
      <c r="IB78" s="15"/>
      <c r="IC78" s="15"/>
      <c r="ID78" s="15"/>
      <c r="IE78" s="15"/>
      <c r="IF78" s="15"/>
      <c r="IG78" s="15"/>
    </row>
    <row r="79" spans="2:241" s="16" customFormat="1" ht="25.05" hidden="1" customHeight="1" x14ac:dyDescent="0.3">
      <c r="B79" s="600"/>
      <c r="C79" s="395" t="s">
        <v>204</v>
      </c>
      <c r="D79" s="382" t="str">
        <f>'สรุปใช้งบ 31กค'!B49</f>
        <v>2802509002</v>
      </c>
      <c r="E79" s="504" t="s">
        <v>226</v>
      </c>
      <c r="F79" s="660" t="str">
        <f>'สรุปใช้งบ 31กค'!C49</f>
        <v>งานติดตั้งระบบกล้องวงจรปิด CCTV วังบางขุนพรหม วังเทเวศร์ อาคาร 6</v>
      </c>
      <c r="G79" s="661"/>
      <c r="H79" s="455">
        <v>1</v>
      </c>
      <c r="I79" s="461">
        <f>'สรุปใช้งบ 31กค'!H49</f>
        <v>4651200</v>
      </c>
      <c r="J79" s="455" t="s">
        <v>20</v>
      </c>
      <c r="K79" s="457">
        <v>0</v>
      </c>
      <c r="L79" s="379">
        <f>'สรุปใช้งบ 31กค'!H49</f>
        <v>4651200</v>
      </c>
      <c r="M79" s="42">
        <f>'สรุปใช้งบ 31กค'!L49</f>
        <v>4650000</v>
      </c>
      <c r="N79" s="468">
        <f t="shared" si="6"/>
        <v>1</v>
      </c>
      <c r="O79" s="385">
        <v>0</v>
      </c>
      <c r="P79" s="388">
        <v>0</v>
      </c>
      <c r="Q79" s="468">
        <f t="shared" si="9"/>
        <v>-1</v>
      </c>
      <c r="R79" s="49" t="str">
        <f t="shared" si="10"/>
        <v>ลดลง</v>
      </c>
      <c r="S79" s="519" t="str">
        <f>'สรุปใช้งบ 31กค'!S49</f>
        <v>เสร็จแล้ว ตรวจรับแล้ว 2 เม.ย. 69 /ส่งมอบ 22 มิ.ย. 69</v>
      </c>
      <c r="T79" s="391" t="str">
        <f t="shared" si="8"/>
        <v xml:space="preserve"> --</v>
      </c>
      <c r="U79" s="392">
        <f t="shared" si="8"/>
        <v>0</v>
      </c>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c r="GM79" s="15"/>
      <c r="GN79" s="15"/>
      <c r="GO79" s="15"/>
      <c r="GP79" s="15"/>
      <c r="GQ79" s="15"/>
      <c r="GR79" s="15"/>
      <c r="GS79" s="15"/>
      <c r="GT79" s="15"/>
      <c r="GU79" s="15"/>
      <c r="GV79" s="15"/>
      <c r="GW79" s="15"/>
      <c r="GX79" s="15"/>
      <c r="GY79" s="15"/>
      <c r="GZ79" s="15"/>
      <c r="HA79" s="15"/>
      <c r="HB79" s="15"/>
      <c r="HC79" s="15"/>
      <c r="HD79" s="15"/>
      <c r="HE79" s="15"/>
      <c r="HF79" s="15"/>
      <c r="HG79" s="15"/>
      <c r="HH79" s="15"/>
      <c r="HI79" s="15"/>
      <c r="HJ79" s="15"/>
      <c r="HK79" s="15"/>
      <c r="HL79" s="15"/>
      <c r="HM79" s="15"/>
      <c r="HN79" s="15"/>
      <c r="HO79" s="15"/>
      <c r="HP79" s="15"/>
      <c r="HQ79" s="15"/>
      <c r="HR79" s="15"/>
      <c r="HS79" s="15"/>
      <c r="HT79" s="15"/>
      <c r="HU79" s="15"/>
      <c r="HV79" s="15"/>
      <c r="HW79" s="15"/>
      <c r="HX79" s="15"/>
      <c r="HY79" s="15"/>
      <c r="HZ79" s="15"/>
      <c r="IA79" s="15"/>
      <c r="IB79" s="15"/>
      <c r="IC79" s="15"/>
      <c r="ID79" s="15"/>
      <c r="IE79" s="15"/>
      <c r="IF79" s="15"/>
      <c r="IG79" s="15"/>
    </row>
    <row r="80" spans="2:241" s="16" customFormat="1" ht="25.05" hidden="1" customHeight="1" x14ac:dyDescent="0.3">
      <c r="B80" s="600"/>
      <c r="C80" s="395" t="s">
        <v>204</v>
      </c>
      <c r="D80" s="382" t="str">
        <f>'สรุปใช้งบ 31กค'!B50</f>
        <v>2802509003</v>
      </c>
      <c r="E80" s="382" t="s">
        <v>227</v>
      </c>
      <c r="F80" s="660" t="str">
        <f>'สรุปใช้งบ 31กค'!C50</f>
        <v>งานติดตั้งระบบกล้องวงจรปิด CCTV ห้องประชุมส่วนกลางอาคาร 1, 2, 7</v>
      </c>
      <c r="G80" s="661"/>
      <c r="H80" s="455">
        <v>1</v>
      </c>
      <c r="I80" s="461">
        <f>'สรุปใช้งบ 31กค'!H50</f>
        <v>1190000</v>
      </c>
      <c r="J80" s="455" t="s">
        <v>20</v>
      </c>
      <c r="K80" s="457">
        <v>0</v>
      </c>
      <c r="L80" s="404">
        <f>'สรุปใช้งบ 31กค'!H50</f>
        <v>1190000</v>
      </c>
      <c r="M80" s="405">
        <f>'สรุปใช้งบ 31กค'!L50</f>
        <v>1180000</v>
      </c>
      <c r="N80" s="468">
        <f t="shared" si="6"/>
        <v>1</v>
      </c>
      <c r="O80" s="385">
        <v>0</v>
      </c>
      <c r="P80" s="388">
        <v>0</v>
      </c>
      <c r="Q80" s="468">
        <f t="shared" si="9"/>
        <v>-1</v>
      </c>
      <c r="R80" s="49" t="str">
        <f t="shared" si="10"/>
        <v>ลดลง</v>
      </c>
      <c r="S80" s="519" t="str">
        <f>'สรุปใช้งบ 31กค'!S50</f>
        <v>เสร็จแล้ว ตรวจรับแล้ว 3 ก.พ. 69 /ส่งมอบ 22 ก.พ. 69</v>
      </c>
      <c r="T80" s="391" t="str">
        <f t="shared" si="8"/>
        <v xml:space="preserve"> --</v>
      </c>
      <c r="U80" s="392">
        <f t="shared" si="8"/>
        <v>0</v>
      </c>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c r="EU80" s="15"/>
      <c r="EV80" s="15"/>
      <c r="EW80" s="15"/>
      <c r="EX80" s="15"/>
      <c r="EY80" s="15"/>
      <c r="EZ80" s="15"/>
      <c r="FA80" s="15"/>
      <c r="FB80" s="15"/>
      <c r="FC80" s="15"/>
      <c r="FD80" s="15"/>
      <c r="FE80" s="15"/>
      <c r="FF80" s="15"/>
      <c r="FG80" s="15"/>
      <c r="FH80" s="15"/>
      <c r="FI80" s="15"/>
      <c r="FJ80" s="15"/>
      <c r="FK80" s="15"/>
      <c r="FL80" s="15"/>
      <c r="FM80" s="15"/>
      <c r="FN80" s="15"/>
      <c r="FO80" s="15"/>
      <c r="FP80" s="15"/>
      <c r="FQ80" s="15"/>
      <c r="FR80" s="15"/>
      <c r="FS80" s="15"/>
      <c r="FT80" s="15"/>
      <c r="FU80" s="15"/>
      <c r="FV80" s="15"/>
      <c r="FW80" s="15"/>
      <c r="FX80" s="15"/>
      <c r="FY80" s="15"/>
      <c r="FZ80" s="15"/>
      <c r="GA80" s="15"/>
      <c r="GB80" s="15"/>
      <c r="GC80" s="15"/>
      <c r="GD80" s="15"/>
      <c r="GE80" s="15"/>
      <c r="GF80" s="15"/>
      <c r="GG80" s="15"/>
      <c r="GH80" s="15"/>
      <c r="GI80" s="15"/>
      <c r="GJ80" s="15"/>
      <c r="GK80" s="15"/>
      <c r="GL80" s="15"/>
      <c r="GM80" s="15"/>
      <c r="GN80" s="15"/>
      <c r="GO80" s="15"/>
      <c r="GP80" s="15"/>
      <c r="GQ80" s="15"/>
      <c r="GR80" s="15"/>
      <c r="GS80" s="15"/>
      <c r="GT80" s="15"/>
      <c r="GU80" s="15"/>
      <c r="GV80" s="15"/>
      <c r="GW80" s="15"/>
      <c r="GX80" s="15"/>
      <c r="GY80" s="15"/>
      <c r="GZ80" s="15"/>
      <c r="HA80" s="15"/>
      <c r="HB80" s="15"/>
      <c r="HC80" s="15"/>
      <c r="HD80" s="15"/>
      <c r="HE80" s="15"/>
      <c r="HF80" s="15"/>
      <c r="HG80" s="15"/>
      <c r="HH80" s="15"/>
      <c r="HI80" s="15"/>
      <c r="HJ80" s="15"/>
      <c r="HK80" s="15"/>
      <c r="HL80" s="15"/>
      <c r="HM80" s="15"/>
      <c r="HN80" s="15"/>
      <c r="HO80" s="15"/>
      <c r="HP80" s="15"/>
      <c r="HQ80" s="15"/>
      <c r="HR80" s="15"/>
      <c r="HS80" s="15"/>
      <c r="HT80" s="15"/>
      <c r="HU80" s="15"/>
      <c r="HV80" s="15"/>
      <c r="HW80" s="15"/>
      <c r="HX80" s="15"/>
      <c r="HY80" s="15"/>
      <c r="HZ80" s="15"/>
      <c r="IA80" s="15"/>
      <c r="IB80" s="15"/>
      <c r="IC80" s="15"/>
      <c r="ID80" s="15"/>
      <c r="IE80" s="15"/>
      <c r="IF80" s="15"/>
      <c r="IG80" s="15"/>
    </row>
    <row r="81" spans="2:241" s="4" customFormat="1" ht="20.2" hidden="1" customHeight="1" x14ac:dyDescent="0.3">
      <c r="B81" s="46"/>
      <c r="C81" s="396"/>
      <c r="D81" s="668" t="s">
        <v>228</v>
      </c>
      <c r="E81" s="669"/>
      <c r="F81" s="669"/>
      <c r="G81" s="669"/>
      <c r="H81" s="462"/>
      <c r="I81" s="463"/>
      <c r="J81" s="462"/>
      <c r="K81" s="463"/>
      <c r="L81" s="406">
        <f>SUM(L40,L5)</f>
        <v>113586800</v>
      </c>
      <c r="M81" s="406">
        <f>SUM(M40,M5)</f>
        <v>64126681.283333339</v>
      </c>
      <c r="N81" s="484">
        <f t="shared" ref="N81" si="12">IFERROR(M81/L81,1)</f>
        <v>0.56456103423402493</v>
      </c>
      <c r="O81" s="57">
        <f>SUM(O40,O5)</f>
        <v>121049954.375</v>
      </c>
      <c r="P81" s="522">
        <f>O81-L81</f>
        <v>7463154.375</v>
      </c>
      <c r="Q81" s="523">
        <f t="shared" si="9"/>
        <v>6.5704416138142818E-2</v>
      </c>
      <c r="R81" s="49" t="str">
        <f t="shared" si="10"/>
        <v>เพิ่มขึ้น</v>
      </c>
      <c r="S81" s="524" t="s">
        <v>664</v>
      </c>
      <c r="T81" s="11" t="s">
        <v>24</v>
      </c>
      <c r="U81" s="525">
        <f>SUM(U40,U5)</f>
        <v>103563089.375</v>
      </c>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row>
    <row r="82" spans="2:241" hidden="1" x14ac:dyDescent="0.35"/>
    <row r="83" spans="2:241" hidden="1" x14ac:dyDescent="0.35"/>
    <row r="84" spans="2:241" hidden="1" x14ac:dyDescent="0.35"/>
    <row r="85" spans="2:241" hidden="1" x14ac:dyDescent="0.35">
      <c r="D85" t="s">
        <v>229</v>
      </c>
    </row>
    <row r="86" spans="2:241" s="16" customFormat="1" ht="22.5" hidden="1" customHeight="1" x14ac:dyDescent="0.35">
      <c r="B86" s="47"/>
      <c r="C86" s="395"/>
      <c r="D86"/>
      <c r="E86" s="408" t="s">
        <v>144</v>
      </c>
      <c r="F86" s="601" t="s">
        <v>230</v>
      </c>
      <c r="G86" s="602"/>
      <c r="H86" s="450" t="s">
        <v>20</v>
      </c>
      <c r="I86" s="450" t="s">
        <v>20</v>
      </c>
      <c r="J86" s="450"/>
      <c r="K86" s="452"/>
      <c r="L86" s="307">
        <v>0</v>
      </c>
      <c r="M86" s="307">
        <v>0</v>
      </c>
      <c r="N86" s="58">
        <f>IFERROR(M86/L86,1)</f>
        <v>1</v>
      </c>
      <c r="O86" s="56">
        <f t="shared" ref="O86" si="13">K86*J86</f>
        <v>0</v>
      </c>
      <c r="P86" s="59">
        <f>O86-L86</f>
        <v>0</v>
      </c>
      <c r="Q86" s="58"/>
      <c r="R86" s="49" t="str">
        <f>IF(O86&gt;L86,"เพิ่มขึ้น",IF(O86&lt;L86,"ลดลง",IF(O86=L86,"--")))</f>
        <v>--</v>
      </c>
      <c r="S86" s="33"/>
      <c r="T86" s="22"/>
      <c r="U86" s="23"/>
      <c r="V86" s="15">
        <v>5</v>
      </c>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c r="DZ86" s="15"/>
      <c r="EA86" s="15"/>
      <c r="EB86" s="15"/>
      <c r="EC86" s="15"/>
      <c r="ED86" s="15"/>
      <c r="EE86" s="15"/>
      <c r="EF86" s="15"/>
      <c r="EG86" s="15"/>
      <c r="EH86" s="15"/>
      <c r="EI86" s="15"/>
      <c r="EJ86" s="15"/>
      <c r="EK86" s="15"/>
      <c r="EL86" s="15"/>
      <c r="EM86" s="15"/>
      <c r="EN86" s="15"/>
      <c r="EO86" s="15"/>
      <c r="EP86" s="15"/>
      <c r="EQ86" s="15"/>
      <c r="ER86" s="15"/>
      <c r="ES86" s="15"/>
      <c r="ET86" s="15"/>
      <c r="EU86" s="15"/>
      <c r="EV86" s="15"/>
      <c r="EW86" s="15"/>
      <c r="EX86" s="15"/>
      <c r="EY86" s="15"/>
      <c r="EZ86" s="15"/>
      <c r="FA86" s="15"/>
      <c r="FB86" s="15"/>
      <c r="FC86" s="15"/>
      <c r="FD86" s="15"/>
      <c r="FE86" s="15"/>
      <c r="FF86" s="15"/>
      <c r="FG86" s="15"/>
      <c r="FH86" s="15"/>
      <c r="FI86" s="15"/>
      <c r="FJ86" s="15"/>
      <c r="FK86" s="15"/>
      <c r="FL86" s="15"/>
      <c r="FM86" s="15"/>
      <c r="FN86" s="15"/>
      <c r="FO86" s="15"/>
      <c r="FP86" s="15"/>
      <c r="FQ86" s="15"/>
      <c r="FR86" s="15"/>
      <c r="FS86" s="15"/>
      <c r="FT86" s="15"/>
      <c r="FU86" s="15"/>
      <c r="FV86" s="15"/>
      <c r="FW86" s="15"/>
      <c r="FX86" s="15"/>
      <c r="FY86" s="15"/>
      <c r="FZ86" s="15"/>
      <c r="GA86" s="15"/>
      <c r="GB86" s="15"/>
      <c r="GC86" s="15"/>
      <c r="GD86" s="15"/>
      <c r="GE86" s="15"/>
      <c r="GF86" s="15"/>
      <c r="GG86" s="15"/>
      <c r="GH86" s="15"/>
      <c r="GI86" s="15"/>
      <c r="GJ86" s="15"/>
      <c r="GK86" s="15"/>
      <c r="GL86" s="15"/>
      <c r="GM86" s="15"/>
      <c r="GN86" s="15"/>
      <c r="GO86" s="15"/>
      <c r="GP86" s="15"/>
      <c r="GQ86" s="15"/>
      <c r="GR86" s="15"/>
      <c r="GS86" s="15"/>
      <c r="GT86" s="15"/>
      <c r="GU86" s="15"/>
      <c r="GV86" s="15"/>
      <c r="GW86" s="15"/>
      <c r="GX86" s="15"/>
      <c r="GY86" s="15"/>
      <c r="GZ86" s="15"/>
      <c r="HA86" s="15"/>
      <c r="HB86" s="15"/>
      <c r="HC86" s="15"/>
      <c r="HD86" s="15"/>
      <c r="HE86" s="15"/>
      <c r="HF86" s="15"/>
      <c r="HG86" s="15"/>
      <c r="HH86" s="15"/>
      <c r="HI86" s="15"/>
      <c r="HJ86" s="15"/>
      <c r="HK86" s="15"/>
      <c r="HL86" s="15"/>
      <c r="HM86" s="15"/>
      <c r="HN86" s="15"/>
      <c r="HO86" s="15"/>
      <c r="HP86" s="15"/>
      <c r="HQ86" s="15"/>
      <c r="HR86" s="15"/>
      <c r="HS86" s="15"/>
      <c r="HT86" s="15"/>
      <c r="HU86" s="15"/>
      <c r="HV86" s="15"/>
      <c r="HW86" s="15"/>
      <c r="HX86" s="15"/>
      <c r="HY86" s="15"/>
      <c r="HZ86" s="15"/>
      <c r="IA86" s="15"/>
      <c r="IB86" s="15"/>
      <c r="IC86" s="15"/>
      <c r="ID86" s="15"/>
      <c r="IE86" s="15"/>
      <c r="IF86" s="15"/>
      <c r="IG86" s="15"/>
    </row>
    <row r="87" spans="2:241" hidden="1" x14ac:dyDescent="0.35"/>
  </sheetData>
  <mergeCells count="155">
    <mergeCell ref="D1:U1"/>
    <mergeCell ref="B3:B4"/>
    <mergeCell ref="D3:D4"/>
    <mergeCell ref="E3:E4"/>
    <mergeCell ref="F3:G4"/>
    <mergeCell ref="H3:K4"/>
    <mergeCell ref="L3:N3"/>
    <mergeCell ref="O3:S3"/>
    <mergeCell ref="T3:U3"/>
    <mergeCell ref="F9:G9"/>
    <mergeCell ref="H9:K9"/>
    <mergeCell ref="F10:G10"/>
    <mergeCell ref="H10:K10"/>
    <mergeCell ref="F11:G11"/>
    <mergeCell ref="H11:K11"/>
    <mergeCell ref="B5:B6"/>
    <mergeCell ref="D5:G5"/>
    <mergeCell ref="F6:G6"/>
    <mergeCell ref="H6:K6"/>
    <mergeCell ref="H7:K7"/>
    <mergeCell ref="H8:K8"/>
    <mergeCell ref="B12:B13"/>
    <mergeCell ref="F12:G12"/>
    <mergeCell ref="H12:K12"/>
    <mergeCell ref="F13:G13"/>
    <mergeCell ref="H13:K13"/>
    <mergeCell ref="B14:B15"/>
    <mergeCell ref="C14:C16"/>
    <mergeCell ref="D14:D19"/>
    <mergeCell ref="E14:E16"/>
    <mergeCell ref="F14:G19"/>
    <mergeCell ref="H14:K14"/>
    <mergeCell ref="H15:K15"/>
    <mergeCell ref="S15:S17"/>
    <mergeCell ref="B16:B17"/>
    <mergeCell ref="H16:K16"/>
    <mergeCell ref="C17:C19"/>
    <mergeCell ref="E17:E19"/>
    <mergeCell ref="H17:K17"/>
    <mergeCell ref="H18:K18"/>
    <mergeCell ref="S18:S19"/>
    <mergeCell ref="H19:K19"/>
    <mergeCell ref="F20:G20"/>
    <mergeCell ref="H20:K20"/>
    <mergeCell ref="H21:K21"/>
    <mergeCell ref="B22:B23"/>
    <mergeCell ref="H22:K22"/>
    <mergeCell ref="C23:C26"/>
    <mergeCell ref="D23:D26"/>
    <mergeCell ref="E23:E26"/>
    <mergeCell ref="F23:G26"/>
    <mergeCell ref="H23:K23"/>
    <mergeCell ref="B24:B25"/>
    <mergeCell ref="H24:K24"/>
    <mergeCell ref="S24:S25"/>
    <mergeCell ref="H25:K25"/>
    <mergeCell ref="B26:B27"/>
    <mergeCell ref="H26:K26"/>
    <mergeCell ref="F27:G27"/>
    <mergeCell ref="H27:K27"/>
    <mergeCell ref="F31:G35"/>
    <mergeCell ref="H31:K31"/>
    <mergeCell ref="B32:B33"/>
    <mergeCell ref="H32:K32"/>
    <mergeCell ref="H33:K33"/>
    <mergeCell ref="B34:B35"/>
    <mergeCell ref="H34:K34"/>
    <mergeCell ref="H35:K35"/>
    <mergeCell ref="F28:G28"/>
    <mergeCell ref="H28:K28"/>
    <mergeCell ref="F29:G29"/>
    <mergeCell ref="H29:K29"/>
    <mergeCell ref="B30:B31"/>
    <mergeCell ref="F30:G30"/>
    <mergeCell ref="H30:K30"/>
    <mergeCell ref="C31:C35"/>
    <mergeCell ref="D31:D35"/>
    <mergeCell ref="E31:E35"/>
    <mergeCell ref="F36:G36"/>
    <mergeCell ref="H36:K36"/>
    <mergeCell ref="F37:G37"/>
    <mergeCell ref="H37:K37"/>
    <mergeCell ref="B38:B39"/>
    <mergeCell ref="F38:G38"/>
    <mergeCell ref="H38:K38"/>
    <mergeCell ref="F39:G39"/>
    <mergeCell ref="H39:K39"/>
    <mergeCell ref="F45:G45"/>
    <mergeCell ref="F46:G46"/>
    <mergeCell ref="F47:G47"/>
    <mergeCell ref="B48:B51"/>
    <mergeCell ref="C48:C51"/>
    <mergeCell ref="D48:D50"/>
    <mergeCell ref="E48:E51"/>
    <mergeCell ref="F48:G48"/>
    <mergeCell ref="D40:G40"/>
    <mergeCell ref="F41:G41"/>
    <mergeCell ref="F42:G42"/>
    <mergeCell ref="B43:B44"/>
    <mergeCell ref="D43:D44"/>
    <mergeCell ref="F43:G43"/>
    <mergeCell ref="F44:G44"/>
    <mergeCell ref="F55:G55"/>
    <mergeCell ref="F56:G56"/>
    <mergeCell ref="F57:G57"/>
    <mergeCell ref="D58:D59"/>
    <mergeCell ref="F58:G58"/>
    <mergeCell ref="B59:B60"/>
    <mergeCell ref="F59:G59"/>
    <mergeCell ref="S48:S50"/>
    <mergeCell ref="F49:G49"/>
    <mergeCell ref="F50:G50"/>
    <mergeCell ref="F51:G51"/>
    <mergeCell ref="F52:G52"/>
    <mergeCell ref="D53:D54"/>
    <mergeCell ref="F53:G53"/>
    <mergeCell ref="S53:S54"/>
    <mergeCell ref="F54:G54"/>
    <mergeCell ref="B64:B65"/>
    <mergeCell ref="F64:G64"/>
    <mergeCell ref="F65:G65"/>
    <mergeCell ref="F66:G66"/>
    <mergeCell ref="F67:G67"/>
    <mergeCell ref="F68:G68"/>
    <mergeCell ref="S59:S60"/>
    <mergeCell ref="F60:G60"/>
    <mergeCell ref="F61:G61"/>
    <mergeCell ref="B62:B63"/>
    <mergeCell ref="F62:G62"/>
    <mergeCell ref="F63:G63"/>
    <mergeCell ref="L71:L72"/>
    <mergeCell ref="M71:M72"/>
    <mergeCell ref="R71:R72"/>
    <mergeCell ref="S71:S72"/>
    <mergeCell ref="F72:G72"/>
    <mergeCell ref="B73:B74"/>
    <mergeCell ref="F73:G73"/>
    <mergeCell ref="F74:G74"/>
    <mergeCell ref="F69:G69"/>
    <mergeCell ref="F70:G70"/>
    <mergeCell ref="B71:B72"/>
    <mergeCell ref="D71:D72"/>
    <mergeCell ref="F71:G71"/>
    <mergeCell ref="I71:I72"/>
    <mergeCell ref="B79:B80"/>
    <mergeCell ref="F79:G79"/>
    <mergeCell ref="F80:G80"/>
    <mergeCell ref="D81:G81"/>
    <mergeCell ref="F86:G86"/>
    <mergeCell ref="B75:B76"/>
    <mergeCell ref="F75:G75"/>
    <mergeCell ref="F76:G76"/>
    <mergeCell ref="B77:B78"/>
    <mergeCell ref="F77:G77"/>
    <mergeCell ref="F78:G78"/>
  </mergeCells>
  <conditionalFormatting sqref="I79:I80 L79:M80">
    <cfRule type="containsText" dxfId="170" priority="29" stopIfTrue="1" operator="containsText" text="เพิ่มขึ้น">
      <formula>NOT(ISERROR(SEARCH("เพิ่มขึ้น",I79)))</formula>
    </cfRule>
    <cfRule type="containsText" dxfId="169" priority="30" stopIfTrue="1" operator="containsText" text="ลดลง">
      <formula>NOT(ISERROR(SEARCH("ลดลง",I79)))</formula>
    </cfRule>
    <cfRule type="containsText" dxfId="168" priority="24" stopIfTrue="1" operator="containsText" text="ลดลง">
      <formula>NOT(ISERROR(SEARCH("ลดลง",I79)))</formula>
    </cfRule>
    <cfRule type="containsText" dxfId="167" priority="25" stopIfTrue="1" operator="containsText" text="เพิ่มขึ้น">
      <formula>NOT(ISERROR(SEARCH("เพิ่มขึ้น",I79)))</formula>
    </cfRule>
    <cfRule type="containsText" dxfId="166" priority="26" stopIfTrue="1" operator="containsText" text="เท่าเดิม">
      <formula>NOT(ISERROR(SEARCH("เท่าเดิม",I79)))</formula>
    </cfRule>
    <cfRule type="containsText" dxfId="165" priority="27" stopIfTrue="1" operator="containsText" text="เพิ่มขึ้น">
      <formula>NOT(ISERROR(SEARCH("เพิ่มขึ้น",I79)))</formula>
    </cfRule>
    <cfRule type="containsText" dxfId="164" priority="28" stopIfTrue="1" operator="containsText" text="ลดลง">
      <formula>NOT(ISERROR(SEARCH("ลดลง",I79)))</formula>
    </cfRule>
  </conditionalFormatting>
  <conditionalFormatting sqref="L73:M80 I79:I80 R2:R71 M2 M4 L6:M39 L41:M71 R73:R81">
    <cfRule type="containsText" dxfId="163" priority="31" stopIfTrue="1" operator="containsText" text="ลดลง">
      <formula>NOT(ISERROR(SEARCH("ลดลง",I2)))</formula>
    </cfRule>
  </conditionalFormatting>
  <conditionalFormatting sqref="L86:M86 R86">
    <cfRule type="containsText" dxfId="162" priority="19" stopIfTrue="1" operator="containsText" text="ลดลง">
      <formula>NOT(ISERROR(SEARCH("ลดลง",L86)))</formula>
    </cfRule>
    <cfRule type="containsText" dxfId="161" priority="14" stopIfTrue="1" operator="containsText" text="เพิ่มขึ้น">
      <formula>NOT(ISERROR(SEARCH("เพิ่มขึ้น",L86)))</formula>
    </cfRule>
    <cfRule type="containsText" dxfId="160" priority="20" stopIfTrue="1" operator="containsText" text="เพิ่มขึ้น">
      <formula>NOT(ISERROR(SEARCH("เพิ่มขึ้น",L86)))</formula>
    </cfRule>
    <cfRule type="containsText" dxfId="159" priority="18" stopIfTrue="1" operator="containsText" text="เพิ่มขึ้น">
      <formula>NOT(ISERROR(SEARCH("เพิ่มขึ้น",L86)))</formula>
    </cfRule>
    <cfRule type="containsText" dxfId="158" priority="13" stopIfTrue="1" operator="containsText" text="ลดลง">
      <formula>NOT(ISERROR(SEARCH("ลดลง",L86)))</formula>
    </cfRule>
    <cfRule type="containsText" dxfId="157" priority="21" stopIfTrue="1" operator="containsText" text="ลดลง">
      <formula>NOT(ISERROR(SEARCH("ลดลง",L86)))</formula>
    </cfRule>
  </conditionalFormatting>
  <conditionalFormatting sqref="M2 R2:R71 M4 L6:M39 L41:M71 L73:M80 R73:R81 I79:I80">
    <cfRule type="containsText" dxfId="156" priority="32" stopIfTrue="1" operator="containsText" text="เพิ่มขึ้น">
      <formula>NOT(ISERROR(SEARCH("เพิ่มขึ้น",I2)))</formula>
    </cfRule>
  </conditionalFormatting>
  <conditionalFormatting sqref="P61">
    <cfRule type="expression" dxfId="155" priority="10" stopIfTrue="1">
      <formula>$R$5:$R$81=เพิ่มขึ้น</formula>
    </cfRule>
    <cfRule type="expression" dxfId="154" priority="11" stopIfTrue="1">
      <formula>$R$5:$R$81=ลดลง</formula>
    </cfRule>
    <cfRule type="expression" dxfId="153" priority="12" stopIfTrue="1">
      <formula>P61=ลดลง</formula>
    </cfRule>
    <cfRule type="containsText" dxfId="152" priority="1" stopIfTrue="1" operator="containsText" text="ลดลง">
      <formula>NOT(ISERROR(SEARCH("ลดลง",P61)))</formula>
    </cfRule>
    <cfRule type="containsText" dxfId="151" priority="2" stopIfTrue="1" operator="containsText" text="เพิ่มขึ้น">
      <formula>NOT(ISERROR(SEARCH("เพิ่มขึ้น",P61)))</formula>
    </cfRule>
    <cfRule type="containsText" dxfId="150" priority="3" stopIfTrue="1" operator="containsText" text="เท่าเดิม">
      <formula>NOT(ISERROR(SEARCH("เท่าเดิม",P61)))</formula>
    </cfRule>
    <cfRule type="containsText" dxfId="149" priority="4" stopIfTrue="1" operator="containsText" text="เพิ่มขึ้น">
      <formula>NOT(ISERROR(SEARCH("เพิ่มขึ้น",P61)))</formula>
    </cfRule>
    <cfRule type="containsText" dxfId="148" priority="5" stopIfTrue="1" operator="containsText" text="ลดลง">
      <formula>NOT(ISERROR(SEARCH("ลดลง",P61)))</formula>
    </cfRule>
    <cfRule type="containsText" dxfId="147" priority="6" stopIfTrue="1" operator="containsText" text="เพิ่มขึ้น">
      <formula>NOT(ISERROR(SEARCH("เพิ่มขึ้น",P61)))</formula>
    </cfRule>
    <cfRule type="containsText" dxfId="146" priority="7" stopIfTrue="1" operator="containsText" text="ลดลง">
      <formula>NOT(ISERROR(SEARCH("ลดลง",P61)))</formula>
    </cfRule>
    <cfRule type="expression" dxfId="145" priority="8" stopIfTrue="1">
      <formula>$R$5:$R$81=n.a.</formula>
    </cfRule>
    <cfRule type="expression" dxfId="144" priority="9" stopIfTrue="1">
      <formula>$R$5:$R$81=คงเดิม</formula>
    </cfRule>
  </conditionalFormatting>
  <conditionalFormatting sqref="R2:R71 R73:R1048576">
    <cfRule type="expression" dxfId="143" priority="35">
      <formula>เท่าเดิม</formula>
    </cfRule>
  </conditionalFormatting>
  <conditionalFormatting sqref="R5:R71 L6:M39 L41:M71 L73:M80 R73:R81 I79:I80 S21:S23 S27:S28 R86 L86:M86">
    <cfRule type="expression" dxfId="142" priority="48" stopIfTrue="1">
      <formula>$R$5:$R$81=n.a.</formula>
    </cfRule>
  </conditionalFormatting>
  <conditionalFormatting sqref="R5:R71 L6:M39 L41:M71 L73:M80 R73:R81 I79:I80">
    <cfRule type="containsText" dxfId="141" priority="44" stopIfTrue="1" operator="containsText" text="เพิ่มขึ้น">
      <formula>NOT(ISERROR(SEARCH("เพิ่มขึ้น",I5)))</formula>
    </cfRule>
    <cfRule type="containsText" dxfId="140" priority="45" stopIfTrue="1" operator="containsText" text="ลดลง">
      <formula>NOT(ISERROR(SEARCH("ลดลง",I5)))</formula>
    </cfRule>
    <cfRule type="containsText" dxfId="139" priority="46" stopIfTrue="1" operator="containsText" text="เพิ่มขึ้น">
      <formula>NOT(ISERROR(SEARCH("เพิ่มขึ้น",I5)))</formula>
    </cfRule>
    <cfRule type="containsText" dxfId="138" priority="47" stopIfTrue="1" operator="containsText" text="ลดลง">
      <formula>NOT(ISERROR(SEARCH("ลดลง",I5)))</formula>
    </cfRule>
  </conditionalFormatting>
  <conditionalFormatting sqref="R5:R71 L6:M39 S21:S23 S27:S28 L41:M71 L73:M80 R73:R81 I79:I80 L86:M86 R86">
    <cfRule type="expression" dxfId="137" priority="50" stopIfTrue="1">
      <formula>$R$5:$R$81=เพิ่มขึ้น</formula>
    </cfRule>
    <cfRule type="expression" dxfId="136" priority="49" stopIfTrue="1">
      <formula>$R$5:$R$81=คงเดิม</formula>
    </cfRule>
    <cfRule type="expression" dxfId="135" priority="51" stopIfTrue="1">
      <formula>$R$5:$R$81=ลดลง</formula>
    </cfRule>
    <cfRule type="expression" dxfId="134" priority="52" stopIfTrue="1">
      <formula>I5=ลดลง</formula>
    </cfRule>
  </conditionalFormatting>
  <conditionalFormatting sqref="R5:R71 R73:R81 L6:M39 L41:M71 L73:M80 I79:I80">
    <cfRule type="containsText" dxfId="133" priority="43" stopIfTrue="1" operator="containsText" text="เท่าเดิม">
      <formula>NOT(ISERROR(SEARCH("เท่าเดิม",I5)))</formula>
    </cfRule>
  </conditionalFormatting>
  <conditionalFormatting sqref="R6 R9 R13 R16 R19 R22 R25 R28 R31 R34 R37 R40 R43:R68 R70:R71 R74:R80">
    <cfRule type="expression" dxfId="132" priority="33">
      <formula>$R$6=ลดลง</formula>
    </cfRule>
    <cfRule type="expression" dxfId="131" priority="34">
      <formula>$R$6=เพิ่มขึ้น</formula>
    </cfRule>
  </conditionalFormatting>
  <conditionalFormatting sqref="R49:R50">
    <cfRule type="expression" dxfId="130" priority="23">
      <formula>$R$6=เพิ่มขึ้น</formula>
    </cfRule>
    <cfRule type="expression" dxfId="129" priority="22">
      <formula>$R$6=ลดลง</formula>
    </cfRule>
  </conditionalFormatting>
  <conditionalFormatting sqref="R86 L86:M86">
    <cfRule type="containsText" dxfId="128" priority="17" stopIfTrue="1" operator="containsText" text="เท่าเดิม">
      <formula>NOT(ISERROR(SEARCH("เท่าเดิม",L86)))</formula>
    </cfRule>
  </conditionalFormatting>
  <conditionalFormatting sqref="R86">
    <cfRule type="expression" dxfId="127" priority="16">
      <formula>$R$6=เพิ่มขึ้น</formula>
    </cfRule>
    <cfRule type="expression" dxfId="126" priority="15">
      <formula>$R$6=ลดลง</formula>
    </cfRule>
  </conditionalFormatting>
  <conditionalFormatting sqref="S21:S24 S26:S39">
    <cfRule type="containsText" dxfId="125" priority="39" stopIfTrue="1" operator="containsText" text="เพิ่มขึ้น">
      <formula>NOT(ISERROR(SEARCH("เพิ่มขึ้น",S21)))</formula>
    </cfRule>
    <cfRule type="containsText" dxfId="124" priority="40" stopIfTrue="1" operator="containsText" text="ลดลง">
      <formula>NOT(ISERROR(SEARCH("ลดลง",S21)))</formula>
    </cfRule>
    <cfRule type="containsText" dxfId="123" priority="41" stopIfTrue="1" operator="containsText" text="เพิ่มขึ้น">
      <formula>NOT(ISERROR(SEARCH("เพิ่มขึ้น",S21)))</formula>
    </cfRule>
    <cfRule type="containsText" dxfId="122" priority="42" stopIfTrue="1" operator="containsText" text="ลดลง">
      <formula>NOT(ISERROR(SEARCH("ลดลง",S21)))</formula>
    </cfRule>
    <cfRule type="containsText" dxfId="121" priority="36" stopIfTrue="1" operator="containsText" text="ลดลง">
      <formula>NOT(ISERROR(SEARCH("ลดลง",S21)))</formula>
    </cfRule>
    <cfRule type="containsText" dxfId="120" priority="37" stopIfTrue="1" operator="containsText" text="เพิ่มขึ้น">
      <formula>NOT(ISERROR(SEARCH("เพิ่มขึ้น",S21)))</formula>
    </cfRule>
    <cfRule type="containsText" dxfId="119" priority="38" stopIfTrue="1" operator="containsText" text="เท่าเดิม">
      <formula>NOT(ISERROR(SEARCH("เท่าเดิม",S21)))</formula>
    </cfRule>
  </conditionalFormatting>
  <conditionalFormatting sqref="S32">
    <cfRule type="expression" dxfId="118" priority="53" stopIfTrue="1">
      <formula>$R$5:$R$81=n.a.</formula>
    </cfRule>
    <cfRule type="expression" dxfId="117" priority="54" stopIfTrue="1">
      <formula>$R$5:$R$81=คงเดิม</formula>
    </cfRule>
    <cfRule type="expression" dxfId="116" priority="55" stopIfTrue="1">
      <formula>$R$5:$R$81=เพิ่มขึ้น</formula>
    </cfRule>
    <cfRule type="expression" dxfId="115" priority="56" stopIfTrue="1">
      <formula>$R$5:$R$81=ลดลง</formula>
    </cfRule>
    <cfRule type="expression" dxfId="114" priority="57" stopIfTrue="1">
      <formula>S32=ลดลง</formula>
    </cfRule>
  </conditionalFormatting>
  <hyperlinks>
    <hyperlink ref="D51" r:id="rId1" display="C2" xr:uid="{2BE148C5-D22C-4F8C-A441-CB584F208A39}"/>
    <hyperlink ref="E48:E51" r:id="rId2" display="B8" xr:uid="{57FA1086-7ED5-4262-9151-6C73D3E07D33}"/>
    <hyperlink ref="E8" r:id="rId3" xr:uid="{708840F1-9145-429E-ADE4-5ACD7489E3A0}"/>
    <hyperlink ref="E7" r:id="rId4" xr:uid="{45739DF3-9CAF-4629-9F2B-55C9DFCB2B07}"/>
    <hyperlink ref="E9" r:id="rId5" xr:uid="{8F5489C4-B913-4DCB-82E2-34567E38FC72}"/>
    <hyperlink ref="E10" r:id="rId6" xr:uid="{BA30C88C-CD0A-4CD3-8EC0-4594E1EA95EA}"/>
    <hyperlink ref="E12" r:id="rId7" xr:uid="{9A8510F2-4694-4193-8E89-ADBFB06AAE0D}"/>
    <hyperlink ref="E13" r:id="rId8" xr:uid="{6996BDE5-A630-4D5D-8DD8-6F47687BE624}"/>
    <hyperlink ref="E14:E16" r:id="rId9" display="A6-1 (ปี69)" xr:uid="{04821E71-75E3-4319-93A2-BC07D0FAEE2C}"/>
    <hyperlink ref="E17:E19" r:id="rId10" display="A6-2 (ปี70)" xr:uid="{43D24275-DC3F-437F-BABB-C78F1B153EF2}"/>
    <hyperlink ref="E21" r:id="rId11" xr:uid="{6B3E03AF-88B9-4B2D-9B9E-6DF34B5EEEF9}"/>
    <hyperlink ref="E23:E26" r:id="rId12" display="A8" xr:uid="{8098CE63-A740-4ACA-A390-6131A13E2FCE}"/>
    <hyperlink ref="E27" r:id="rId13" xr:uid="{914FE9EC-9EAC-42B4-96CD-28854B508681}"/>
    <hyperlink ref="E28" r:id="rId14" xr:uid="{FB26C605-0AA7-4B0F-99F4-6E9F55694BBF}"/>
    <hyperlink ref="E29" r:id="rId15" xr:uid="{7217A420-02EB-48D0-AC72-2531F8CAC8F0}"/>
    <hyperlink ref="E30" r:id="rId16" xr:uid="{684FEF23-00A4-45C3-A004-09330E208D83}"/>
    <hyperlink ref="E31:E35" r:id="rId17" display="A13" xr:uid="{1AD0BAE8-47CA-484C-84A6-D278DE9A68C2}"/>
    <hyperlink ref="E36" r:id="rId18" xr:uid="{464920CA-7ED9-485E-AFB1-396FAEA43848}"/>
    <hyperlink ref="E39" r:id="rId19" xr:uid="{802F63CC-48E2-4966-8C1C-93926EE13575}"/>
    <hyperlink ref="E37" r:id="rId20" xr:uid="{1395A0D6-7912-4FF6-8586-34DD2CD4780D}"/>
    <hyperlink ref="E38" r:id="rId21" xr:uid="{21C8548F-E888-4BCB-A97E-5E76D5F649E7}"/>
    <hyperlink ref="E22" r:id="rId22" xr:uid="{C70F66B8-94D2-4C1E-8923-6565F56AA7D6}"/>
    <hyperlink ref="E11" r:id="rId23" xr:uid="{C16DF6D8-DA66-403C-BB87-C579C28EDC1E}"/>
    <hyperlink ref="E43" r:id="rId24" xr:uid="{91E17D82-7091-4ED6-9074-F02D2D658631}"/>
    <hyperlink ref="E44" r:id="rId25" xr:uid="{EAEF9974-E7F6-4334-B34C-0EA252DD1FEF}"/>
    <hyperlink ref="E45" r:id="rId26" xr:uid="{142DA381-1188-465E-A0F4-1B91667BF319}"/>
    <hyperlink ref="E46" r:id="rId27" xr:uid="{FFF473F3-A02D-45DB-9FC4-7D0174022078}"/>
    <hyperlink ref="E47" r:id="rId28" xr:uid="{5CED3A1B-3695-44AE-8EE4-E9EEE555D271}"/>
    <hyperlink ref="E52" r:id="rId29" xr:uid="{CAA0C300-C07F-4240-9176-F57F46E24F32}"/>
    <hyperlink ref="E53" r:id="rId30" xr:uid="{6AAF78A8-3F5A-42DB-B70B-D4C9E4F16427}"/>
    <hyperlink ref="E55" r:id="rId31" xr:uid="{A2E91C67-E820-4853-B360-A4ED4913DB6A}"/>
    <hyperlink ref="E56" r:id="rId32" xr:uid="{2410EA12-5041-4075-BD7D-06011756F759}"/>
    <hyperlink ref="E58" r:id="rId33" xr:uid="{FCAC27EF-4AC4-4E3E-BAB9-E616D8F54243}"/>
    <hyperlink ref="E59" r:id="rId34" xr:uid="{29C8F003-6860-4D1A-A4CB-33E65A00DB77}"/>
    <hyperlink ref="E60" r:id="rId35" xr:uid="{8798AEAB-1329-495C-8DB7-A900A0D9E217}"/>
    <hyperlink ref="E62" r:id="rId36" xr:uid="{0FD9CA36-B04A-4670-AED3-2C9439D98304}"/>
    <hyperlink ref="E63" r:id="rId37" xr:uid="{E5DF7052-B608-4B3E-B694-6FDDB57C6448}"/>
    <hyperlink ref="E64" r:id="rId38" xr:uid="{014801E6-9748-484F-B4CA-52C2343B3185}"/>
    <hyperlink ref="E65" r:id="rId39" xr:uid="{4119913D-E9EF-4D16-980F-5E1AF51B0BE7}"/>
    <hyperlink ref="E66" r:id="rId40" xr:uid="{95A727DE-7939-4E06-8086-D9DB3BCCF1B5}"/>
    <hyperlink ref="E67" r:id="rId41" xr:uid="{FE5D57CA-DAC2-4FB0-B975-9E0A44AE16A5}"/>
    <hyperlink ref="E68" r:id="rId42" xr:uid="{D05BEF4D-4F31-4DDB-97CA-08098936EEC2}"/>
  </hyperlinks>
  <printOptions horizontalCentered="1"/>
  <pageMargins left="0.11811023622047245" right="0.11811023622047245" top="0.35433070866141736" bottom="0.35433070866141736" header="0.31496062992125984" footer="0.31496062992125984"/>
  <pageSetup paperSize="8" scale="85" orientation="landscape" r:id="rId43"/>
  <drawing r:id="rId44"/>
  <legacyDrawing r:id="rId4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EA74B-3FFD-4150-92D3-A057C7534C95}">
  <dimension ref="A1:IG86"/>
  <sheetViews>
    <sheetView zoomScale="90" zoomScaleNormal="90" zoomScaleSheetLayoutView="90" workbookViewId="0">
      <pane xSplit="7" ySplit="4" topLeftCell="H40" activePane="bottomRight" state="frozen"/>
      <selection pane="topRight" activeCell="G1" sqref="G1"/>
      <selection pane="bottomLeft" activeCell="A5" sqref="A5"/>
      <selection pane="bottomRight" activeCell="N40" sqref="N40"/>
    </sheetView>
  </sheetViews>
  <sheetFormatPr defaultRowHeight="13.5" x14ac:dyDescent="0.35"/>
  <cols>
    <col min="1" max="1" width="3.4375" customWidth="1"/>
    <col min="2" max="2" width="14.75" style="47" hidden="1" customWidth="1"/>
    <col min="3" max="3" width="10.8125" style="38" hidden="1" customWidth="1"/>
    <col min="4" max="4" width="10.3125" hidden="1" customWidth="1"/>
    <col min="5" max="5" width="5.8125" style="409" customWidth="1"/>
    <col min="6" max="6" width="1.75" customWidth="1"/>
    <col min="7" max="7" width="31.0625" customWidth="1"/>
    <col min="8" max="8" width="7.5625" style="464" customWidth="1"/>
    <col min="9" max="9" width="9.0625" style="465" customWidth="1"/>
    <col min="10" max="10" width="7.75" style="464" bestFit="1" customWidth="1"/>
    <col min="11" max="11" width="10.4375" style="465" customWidth="1"/>
    <col min="12" max="12" width="10.6875" style="30" customWidth="1"/>
    <col min="13" max="13" width="14.0625" style="44" hidden="1" customWidth="1"/>
    <col min="14" max="14" width="6.4375" customWidth="1"/>
    <col min="15" max="15" width="9" style="32" customWidth="1"/>
    <col min="16" max="16" width="8.0625" style="38" customWidth="1"/>
    <col min="17" max="17" width="6.8125" customWidth="1"/>
    <col min="18" max="18" width="8.5" hidden="1" customWidth="1"/>
    <col min="19" max="19" width="50.3125" style="32" customWidth="1"/>
    <col min="20" max="20" width="0" hidden="1" customWidth="1"/>
    <col min="21" max="21" width="10.6875" hidden="1" customWidth="1"/>
  </cols>
  <sheetData>
    <row r="1" spans="2:241" s="3" customFormat="1" ht="21.7" customHeight="1" x14ac:dyDescent="0.35">
      <c r="B1" s="45">
        <f>(18990)*105%</f>
        <v>19939.5</v>
      </c>
      <c r="C1" s="394">
        <f>80000/6</f>
        <v>13333.333333333334</v>
      </c>
      <c r="D1" s="699" t="s">
        <v>0</v>
      </c>
      <c r="E1" s="699"/>
      <c r="F1" s="699"/>
      <c r="G1" s="699"/>
      <c r="H1" s="699"/>
      <c r="I1" s="699"/>
      <c r="J1" s="699"/>
      <c r="K1" s="699"/>
      <c r="L1" s="699"/>
      <c r="M1" s="699"/>
      <c r="N1" s="699"/>
      <c r="O1" s="699"/>
      <c r="P1" s="699"/>
      <c r="Q1" s="699"/>
      <c r="R1" s="699"/>
      <c r="S1" s="699"/>
      <c r="T1" s="699"/>
      <c r="U1" s="699"/>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row>
    <row r="2" spans="2:241" s="3" customFormat="1" ht="8.5500000000000007" customHeight="1" thickBot="1" x14ac:dyDescent="0.4">
      <c r="B2" s="45"/>
      <c r="C2" s="394"/>
      <c r="D2" s="1"/>
      <c r="E2" s="407"/>
      <c r="F2" s="1"/>
      <c r="G2" s="1"/>
      <c r="H2" s="1"/>
      <c r="I2" s="29"/>
      <c r="J2" s="1"/>
      <c r="K2" s="29"/>
      <c r="L2" s="29"/>
      <c r="M2" s="40"/>
      <c r="N2" s="1"/>
      <c r="O2" s="31"/>
      <c r="P2" s="37"/>
      <c r="Q2" s="1"/>
      <c r="R2" s="1"/>
      <c r="S2" s="31"/>
      <c r="T2" s="1"/>
      <c r="U2" s="1"/>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row>
    <row r="3" spans="2:241" s="4" customFormat="1" ht="24" customHeight="1" thickTop="1" x14ac:dyDescent="0.3">
      <c r="B3" s="600"/>
      <c r="C3" s="395"/>
      <c r="D3" s="673" t="s">
        <v>1</v>
      </c>
      <c r="E3" s="700" t="s">
        <v>2</v>
      </c>
      <c r="F3" s="673" t="s">
        <v>3</v>
      </c>
      <c r="G3" s="673"/>
      <c r="H3" s="701" t="s">
        <v>4</v>
      </c>
      <c r="I3" s="702"/>
      <c r="J3" s="702"/>
      <c r="K3" s="702"/>
      <c r="L3" s="711" t="s">
        <v>5</v>
      </c>
      <c r="M3" s="711"/>
      <c r="N3" s="712"/>
      <c r="O3" s="703" t="s">
        <v>6</v>
      </c>
      <c r="P3" s="704"/>
      <c r="Q3" s="704"/>
      <c r="R3" s="704"/>
      <c r="S3" s="705"/>
      <c r="T3" s="706" t="s">
        <v>7</v>
      </c>
      <c r="U3" s="707"/>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c r="DT3" s="5"/>
      <c r="DU3" s="5"/>
      <c r="DV3" s="5"/>
      <c r="DW3" s="5"/>
      <c r="DX3" s="5"/>
      <c r="DY3" s="5"/>
      <c r="DZ3" s="5"/>
      <c r="EA3" s="5"/>
      <c r="EB3" s="5"/>
      <c r="EC3" s="5"/>
      <c r="ED3" s="5"/>
      <c r="EE3" s="5"/>
      <c r="EF3" s="5"/>
      <c r="EG3" s="5"/>
      <c r="EH3" s="5"/>
      <c r="EI3" s="5"/>
      <c r="EJ3" s="5"/>
      <c r="EK3" s="5"/>
      <c r="EL3" s="5"/>
      <c r="EM3" s="5"/>
      <c r="EN3" s="5"/>
      <c r="EO3" s="5"/>
      <c r="EP3" s="5"/>
      <c r="EQ3" s="5"/>
      <c r="ER3" s="5"/>
      <c r="ES3" s="5"/>
      <c r="ET3" s="5"/>
      <c r="EU3" s="5"/>
      <c r="EV3" s="5"/>
      <c r="EW3" s="5"/>
      <c r="EX3" s="5"/>
      <c r="EY3" s="5"/>
      <c r="EZ3" s="5"/>
      <c r="FA3" s="5"/>
      <c r="FB3" s="5"/>
      <c r="FC3" s="5"/>
      <c r="FD3" s="5"/>
      <c r="FE3" s="5"/>
      <c r="FF3" s="5"/>
      <c r="FG3" s="5"/>
      <c r="FH3" s="5"/>
      <c r="FI3" s="5"/>
      <c r="FJ3" s="5"/>
      <c r="FK3" s="5"/>
      <c r="FL3" s="5"/>
      <c r="FM3" s="5"/>
      <c r="FN3" s="5"/>
      <c r="FO3" s="5"/>
      <c r="FP3" s="5"/>
      <c r="FQ3" s="5"/>
      <c r="FR3" s="5"/>
      <c r="FS3" s="5"/>
      <c r="FT3" s="5"/>
      <c r="FU3" s="5"/>
      <c r="FV3" s="5"/>
      <c r="FW3" s="5"/>
      <c r="FX3" s="5"/>
      <c r="FY3" s="5"/>
      <c r="FZ3" s="5"/>
      <c r="GA3" s="5"/>
      <c r="GB3" s="5"/>
      <c r="GC3" s="5"/>
      <c r="GD3" s="5"/>
      <c r="GE3" s="5"/>
      <c r="GF3" s="5"/>
      <c r="GG3" s="5"/>
      <c r="GH3" s="5"/>
      <c r="GI3" s="5"/>
      <c r="GJ3" s="5"/>
      <c r="GK3" s="5"/>
      <c r="GL3" s="5"/>
      <c r="GM3" s="5"/>
      <c r="GN3" s="5"/>
      <c r="GO3" s="5"/>
      <c r="GP3" s="5"/>
      <c r="GQ3" s="5"/>
      <c r="GR3" s="5"/>
      <c r="GS3" s="5"/>
      <c r="GT3" s="5"/>
      <c r="GU3" s="5"/>
      <c r="GV3" s="5"/>
      <c r="GW3" s="5"/>
      <c r="GX3" s="5"/>
      <c r="GY3" s="5"/>
      <c r="GZ3" s="5"/>
      <c r="HA3" s="5"/>
      <c r="HB3" s="5"/>
      <c r="HC3" s="5"/>
      <c r="HD3" s="5"/>
      <c r="HE3" s="5"/>
      <c r="HF3" s="5"/>
      <c r="HG3" s="5"/>
      <c r="HH3" s="5"/>
      <c r="HI3" s="5"/>
      <c r="HJ3" s="5"/>
      <c r="HK3" s="5"/>
      <c r="HL3" s="5"/>
      <c r="HM3" s="5"/>
      <c r="HN3" s="5"/>
      <c r="HO3" s="5"/>
      <c r="HP3" s="5"/>
      <c r="HQ3" s="5"/>
      <c r="HR3" s="5"/>
      <c r="HS3" s="5"/>
      <c r="HT3" s="5"/>
      <c r="HU3" s="5"/>
      <c r="HV3" s="5"/>
      <c r="HW3" s="5"/>
      <c r="HX3" s="5"/>
      <c r="HY3" s="5"/>
      <c r="HZ3" s="5"/>
      <c r="IA3" s="5"/>
      <c r="IB3" s="5"/>
      <c r="IC3" s="5"/>
      <c r="ID3" s="5"/>
      <c r="IE3" s="5"/>
      <c r="IF3" s="5"/>
      <c r="IG3" s="5"/>
    </row>
    <row r="4" spans="2:241" s="4" customFormat="1" ht="28.05" customHeight="1" x14ac:dyDescent="0.3">
      <c r="B4" s="600"/>
      <c r="C4" s="395"/>
      <c r="D4" s="673"/>
      <c r="E4" s="700"/>
      <c r="F4" s="673"/>
      <c r="G4" s="673"/>
      <c r="H4" s="701"/>
      <c r="I4" s="702"/>
      <c r="J4" s="702"/>
      <c r="K4" s="702"/>
      <c r="L4" s="50" t="s">
        <v>8</v>
      </c>
      <c r="M4" s="39" t="s">
        <v>9</v>
      </c>
      <c r="N4" s="17" t="s">
        <v>10</v>
      </c>
      <c r="O4" s="26" t="s">
        <v>11</v>
      </c>
      <c r="P4" s="25" t="s">
        <v>12</v>
      </c>
      <c r="Q4" s="17" t="s">
        <v>13</v>
      </c>
      <c r="R4" s="17" t="s">
        <v>14</v>
      </c>
      <c r="S4" s="427" t="s">
        <v>15</v>
      </c>
      <c r="T4" s="18" t="s">
        <v>16</v>
      </c>
      <c r="U4" s="19" t="s">
        <v>17</v>
      </c>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row>
    <row r="5" spans="2:241" s="4" customFormat="1" ht="19.05" hidden="1" customHeight="1" x14ac:dyDescent="0.3">
      <c r="B5" s="600"/>
      <c r="C5" s="395"/>
      <c r="D5" s="668" t="s">
        <v>18</v>
      </c>
      <c r="E5" s="669"/>
      <c r="F5" s="669"/>
      <c r="G5" s="708"/>
      <c r="H5" s="444"/>
      <c r="I5" s="445"/>
      <c r="J5" s="446"/>
      <c r="K5" s="447"/>
      <c r="L5" s="406">
        <f>SUM(L6,L9:L14,L20,L23,L27:L31,L36:L39)</f>
        <v>83953200</v>
      </c>
      <c r="M5" s="406">
        <f>SUM(M6,M9:M14,M20,M23,M27:M31,M36:M39)</f>
        <v>38792696.283333339</v>
      </c>
      <c r="N5" s="488">
        <f>IFERROR(M5/L5-1,1)</f>
        <v>-0.53792474517548661</v>
      </c>
      <c r="O5" s="51">
        <f>SUM(O6,O9:O14,O20,O23,O27:O31,O36:O39)</f>
        <v>83608454.375</v>
      </c>
      <c r="P5" s="487">
        <f t="shared" ref="P5:Q68" si="0">O5-L5</f>
        <v>-344745.625</v>
      </c>
      <c r="Q5" s="488">
        <f>IFERROR(O5/L5-1,1)</f>
        <v>-4.1064024361191498E-3</v>
      </c>
      <c r="R5" s="489" t="str">
        <f t="shared" ref="R5:R68" si="1">IF(O5&gt;L5,"เพิ่มขึ้น",IF(O5&lt;L5,"ลดลง",IF(O5=L5,"--")))</f>
        <v>ลดลง</v>
      </c>
      <c r="S5" s="490" t="s">
        <v>19</v>
      </c>
      <c r="T5" s="27">
        <f>SUM(T14,T23,T37,T38)</f>
        <v>12</v>
      </c>
      <c r="U5" s="406">
        <f>SUM(U6,U9:U14,U20,U23,U27:U31,U36:U39)</f>
        <v>103563089.375</v>
      </c>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c r="DD5" s="5"/>
      <c r="DE5" s="5"/>
      <c r="DF5" s="5"/>
      <c r="DG5" s="5"/>
      <c r="DH5" s="5"/>
      <c r="DI5" s="5"/>
      <c r="DJ5" s="5"/>
      <c r="DK5" s="5"/>
      <c r="DL5" s="5"/>
      <c r="DM5" s="5"/>
      <c r="DN5" s="5"/>
      <c r="DO5" s="5"/>
      <c r="DP5" s="5"/>
      <c r="DQ5" s="5"/>
      <c r="DR5" s="5"/>
      <c r="DS5" s="5"/>
      <c r="DT5" s="5"/>
      <c r="DU5" s="5"/>
      <c r="DV5" s="5"/>
      <c r="DW5" s="5"/>
      <c r="DX5" s="5"/>
      <c r="DY5" s="5"/>
      <c r="DZ5" s="5"/>
      <c r="EA5" s="5"/>
      <c r="EB5" s="5"/>
      <c r="EC5" s="5"/>
      <c r="ED5" s="5"/>
      <c r="EE5" s="5"/>
      <c r="EF5" s="5"/>
      <c r="EG5" s="5"/>
      <c r="EH5" s="5"/>
      <c r="EI5" s="5"/>
      <c r="EJ5" s="5"/>
      <c r="EK5" s="5"/>
      <c r="EL5" s="5"/>
      <c r="EM5" s="5"/>
      <c r="EN5" s="5"/>
      <c r="EO5" s="5"/>
      <c r="EP5" s="5"/>
      <c r="EQ5" s="5"/>
      <c r="ER5" s="5"/>
      <c r="ES5" s="5"/>
      <c r="ET5" s="5"/>
      <c r="EU5" s="5"/>
      <c r="EV5" s="5"/>
      <c r="EW5" s="5"/>
      <c r="EX5" s="5"/>
      <c r="EY5" s="5"/>
      <c r="EZ5" s="5"/>
      <c r="FA5" s="5"/>
      <c r="FB5" s="5"/>
      <c r="FC5" s="5"/>
      <c r="FD5" s="5"/>
      <c r="FE5" s="5"/>
      <c r="FF5" s="5"/>
      <c r="FG5" s="5"/>
      <c r="FH5" s="5"/>
      <c r="FI5" s="5"/>
      <c r="FJ5" s="5"/>
      <c r="FK5" s="5"/>
      <c r="FL5" s="5"/>
      <c r="FM5" s="5"/>
      <c r="FN5" s="5"/>
      <c r="FO5" s="5"/>
      <c r="FP5" s="5"/>
      <c r="FQ5" s="5"/>
      <c r="FR5" s="5"/>
      <c r="FS5" s="5"/>
      <c r="FT5" s="5"/>
      <c r="FU5" s="5"/>
      <c r="FV5" s="5"/>
      <c r="FW5" s="5"/>
      <c r="FX5" s="5"/>
      <c r="FY5" s="5"/>
      <c r="FZ5" s="5"/>
      <c r="GA5" s="5"/>
      <c r="GB5" s="5"/>
      <c r="GC5" s="5"/>
      <c r="GD5" s="5"/>
      <c r="GE5" s="5"/>
      <c r="GF5" s="5"/>
      <c r="GG5" s="5"/>
      <c r="GH5" s="5"/>
      <c r="GI5" s="5"/>
      <c r="GJ5" s="5"/>
      <c r="GK5" s="5"/>
      <c r="GL5" s="5"/>
      <c r="GM5" s="5"/>
      <c r="GN5" s="5"/>
      <c r="GO5" s="5"/>
      <c r="GP5" s="5"/>
      <c r="GQ5" s="5"/>
      <c r="GR5" s="5"/>
      <c r="GS5" s="5"/>
      <c r="GT5" s="5"/>
      <c r="GU5" s="5"/>
      <c r="GV5" s="5"/>
      <c r="GW5" s="5"/>
      <c r="GX5" s="5"/>
      <c r="GY5" s="5"/>
      <c r="GZ5" s="5"/>
      <c r="HA5" s="5"/>
      <c r="HB5" s="5"/>
      <c r="HC5" s="5"/>
      <c r="HD5" s="5"/>
      <c r="HE5" s="5"/>
      <c r="HF5" s="5"/>
      <c r="HG5" s="5"/>
      <c r="HH5" s="5"/>
      <c r="HI5" s="5"/>
      <c r="HJ5" s="5"/>
      <c r="HK5" s="5"/>
      <c r="HL5" s="5"/>
      <c r="HM5" s="5"/>
      <c r="HN5" s="5"/>
      <c r="HO5" s="5"/>
      <c r="HP5" s="5"/>
      <c r="HQ5" s="5"/>
      <c r="HR5" s="5"/>
      <c r="HS5" s="5"/>
      <c r="HT5" s="5"/>
      <c r="HU5" s="5"/>
      <c r="HV5" s="5"/>
      <c r="HW5" s="5"/>
      <c r="HX5" s="5"/>
      <c r="HY5" s="5"/>
      <c r="HZ5" s="5"/>
      <c r="IA5" s="5"/>
      <c r="IB5" s="5"/>
      <c r="IC5" s="5"/>
      <c r="ID5" s="5"/>
      <c r="IE5" s="5"/>
      <c r="IF5" s="5"/>
      <c r="IG5" s="5"/>
    </row>
    <row r="6" spans="2:241" s="4" customFormat="1" ht="20.2" hidden="1" customHeight="1" x14ac:dyDescent="0.3">
      <c r="B6" s="600"/>
      <c r="C6" s="395"/>
      <c r="D6" s="377" t="s">
        <v>20</v>
      </c>
      <c r="E6" s="500"/>
      <c r="F6" s="709" t="s">
        <v>21</v>
      </c>
      <c r="G6" s="710"/>
      <c r="H6" s="643" t="s">
        <v>22</v>
      </c>
      <c r="I6" s="644"/>
      <c r="J6" s="644"/>
      <c r="K6" s="644"/>
      <c r="L6" s="402">
        <f>SUM(L7:L8)</f>
        <v>5950000</v>
      </c>
      <c r="M6" s="410">
        <f>SUM(M7:M8)</f>
        <v>3752559.21</v>
      </c>
      <c r="N6" s="422">
        <f t="shared" ref="N6:N68" si="2">IFERROR(M6/L6-1,1)</f>
        <v>-0.36931777983193281</v>
      </c>
      <c r="O6" s="52">
        <f>SUM(O8:O8)</f>
        <v>6200000</v>
      </c>
      <c r="P6" s="425">
        <f t="shared" si="0"/>
        <v>250000</v>
      </c>
      <c r="Q6" s="422">
        <f>IFERROR(O6/L6-1,1)</f>
        <v>4.2016806722689148E-2</v>
      </c>
      <c r="R6" s="426" t="str">
        <f t="shared" si="1"/>
        <v>เพิ่มขึ้น</v>
      </c>
      <c r="S6" s="433" t="s">
        <v>23</v>
      </c>
      <c r="T6" s="6" t="s">
        <v>24</v>
      </c>
      <c r="U6" s="7">
        <v>0</v>
      </c>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row>
    <row r="7" spans="2:241" s="4" customFormat="1" ht="46.5" hidden="1" customHeight="1" x14ac:dyDescent="0.3">
      <c r="B7" s="387"/>
      <c r="C7" s="395" t="s">
        <v>25</v>
      </c>
      <c r="D7" s="377" t="str">
        <f>'สรุปใช้งบ 31กค'!B11</f>
        <v>5020102000</v>
      </c>
      <c r="E7" s="501" t="s">
        <v>26</v>
      </c>
      <c r="F7" s="398"/>
      <c r="G7" s="20" t="s">
        <v>27</v>
      </c>
      <c r="H7" s="647" t="s">
        <v>28</v>
      </c>
      <c r="I7" s="648"/>
      <c r="J7" s="648"/>
      <c r="K7" s="649"/>
      <c r="L7" s="428">
        <f>'สรุปใช้งบ 31กค'!H11</f>
        <v>310000</v>
      </c>
      <c r="M7" s="42">
        <f>'สรุปใช้งบ 31กค'!L11</f>
        <v>263759.21000000002</v>
      </c>
      <c r="N7" s="423">
        <f t="shared" si="2"/>
        <v>-0.14916383870967731</v>
      </c>
      <c r="O7" s="53">
        <f>[1]คำขอ2570!$F$8</f>
        <v>890000</v>
      </c>
      <c r="P7" s="421">
        <f t="shared" si="0"/>
        <v>580000</v>
      </c>
      <c r="Q7" s="423">
        <f t="shared" ref="Q7:Q70" si="3">IFERROR(O7/L7-1,1)</f>
        <v>1.870967741935484</v>
      </c>
      <c r="R7" s="49" t="str">
        <f t="shared" si="1"/>
        <v>เพิ่มขึ้น</v>
      </c>
      <c r="S7" s="419" t="s">
        <v>652</v>
      </c>
      <c r="T7" s="8" t="s">
        <v>24</v>
      </c>
      <c r="U7" s="9">
        <v>0</v>
      </c>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row>
    <row r="8" spans="2:241" s="4" customFormat="1" ht="38.549999999999997" hidden="1" customHeight="1" x14ac:dyDescent="0.3">
      <c r="B8" s="387" t="s">
        <v>29</v>
      </c>
      <c r="C8" s="395" t="s">
        <v>25</v>
      </c>
      <c r="D8" s="377" t="str">
        <f>'สรุปใช้งบ 31กค'!B12</f>
        <v>5020104000</v>
      </c>
      <c r="E8" s="501" t="s">
        <v>30</v>
      </c>
      <c r="F8" s="398"/>
      <c r="G8" s="21" t="s">
        <v>31</v>
      </c>
      <c r="H8" s="647" t="s">
        <v>32</v>
      </c>
      <c r="I8" s="648"/>
      <c r="J8" s="648"/>
      <c r="K8" s="649"/>
      <c r="L8" s="428">
        <f>'สรุปใช้งบ 31กค'!H12</f>
        <v>5640000</v>
      </c>
      <c r="M8" s="42">
        <f>'สรุปใช้งบ 31กค'!L12</f>
        <v>3488800</v>
      </c>
      <c r="N8" s="423">
        <f t="shared" si="2"/>
        <v>-0.38141843971631206</v>
      </c>
      <c r="O8" s="53">
        <f>'[2]2570new'!$D$21</f>
        <v>6200000</v>
      </c>
      <c r="P8" s="421">
        <f t="shared" si="0"/>
        <v>560000</v>
      </c>
      <c r="Q8" s="423">
        <f t="shared" si="3"/>
        <v>9.9290780141843893E-2</v>
      </c>
      <c r="R8" s="49" t="str">
        <f t="shared" si="1"/>
        <v>เพิ่มขึ้น</v>
      </c>
      <c r="S8" s="420" t="s">
        <v>653</v>
      </c>
      <c r="T8" s="8" t="s">
        <v>24</v>
      </c>
      <c r="U8" s="9">
        <v>0</v>
      </c>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row>
    <row r="9" spans="2:241" s="4" customFormat="1" ht="34.049999999999997" hidden="1" customHeight="1" x14ac:dyDescent="0.3">
      <c r="B9" s="470" t="s">
        <v>33</v>
      </c>
      <c r="C9" s="395"/>
      <c r="D9" s="377" t="str">
        <f>'สรุปใช้งบ 31กค'!B13</f>
        <v>5020305000</v>
      </c>
      <c r="E9" s="501" t="s">
        <v>34</v>
      </c>
      <c r="F9" s="671" t="s">
        <v>35</v>
      </c>
      <c r="G9" s="672"/>
      <c r="H9" s="713" t="s">
        <v>36</v>
      </c>
      <c r="I9" s="714"/>
      <c r="J9" s="714"/>
      <c r="K9" s="714"/>
      <c r="L9" s="429">
        <f>'สรุปใช้งบ 31กค'!H13</f>
        <v>6650000</v>
      </c>
      <c r="M9" s="41">
        <f>'สรุปใช้งบ 31กค'!$L$13</f>
        <v>2100323.85</v>
      </c>
      <c r="N9" s="418">
        <f t="shared" si="2"/>
        <v>-0.68416182706766915</v>
      </c>
      <c r="O9" s="52">
        <f>'[3]1. ต่างสำนักงาน  Rate ปี 70'!$F$20</f>
        <v>4380000</v>
      </c>
      <c r="P9" s="413">
        <f t="shared" si="0"/>
        <v>-2270000</v>
      </c>
      <c r="Q9" s="418">
        <f t="shared" si="3"/>
        <v>-0.34135338345864663</v>
      </c>
      <c r="R9" s="426" t="str">
        <f t="shared" si="1"/>
        <v>ลดลง</v>
      </c>
      <c r="S9" s="415" t="s">
        <v>37</v>
      </c>
      <c r="T9" s="13" t="s">
        <v>24</v>
      </c>
      <c r="U9" s="14">
        <v>0</v>
      </c>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row>
    <row r="10" spans="2:241" s="4" customFormat="1" ht="48" hidden="1" customHeight="1" x14ac:dyDescent="0.3">
      <c r="B10" s="432" t="s">
        <v>38</v>
      </c>
      <c r="C10" s="15"/>
      <c r="D10" s="377">
        <f>'สรุปใช้งบ 31กค'!B14</f>
        <v>5020304000</v>
      </c>
      <c r="E10" s="501" t="s">
        <v>39</v>
      </c>
      <c r="F10" s="626" t="s">
        <v>40</v>
      </c>
      <c r="G10" s="627"/>
      <c r="H10" s="654" t="s">
        <v>41</v>
      </c>
      <c r="I10" s="643"/>
      <c r="J10" s="643"/>
      <c r="K10" s="643"/>
      <c r="L10" s="378">
        <f>'สรุปใช้งบ 31กค'!H14</f>
        <v>457900</v>
      </c>
      <c r="M10" s="41">
        <f>'สรุปใช้งบ 31กค'!$L$14</f>
        <v>443910.80000000005</v>
      </c>
      <c r="N10" s="422">
        <f t="shared" si="2"/>
        <v>-3.0550775278444964E-2</v>
      </c>
      <c r="O10" s="54">
        <v>1204490</v>
      </c>
      <c r="P10" s="425">
        <f t="shared" si="0"/>
        <v>746590</v>
      </c>
      <c r="Q10" s="422">
        <f t="shared" si="3"/>
        <v>1.6304651670670451</v>
      </c>
      <c r="R10" s="467" t="str">
        <f t="shared" si="1"/>
        <v>เพิ่มขึ้น</v>
      </c>
      <c r="S10" s="433" t="s">
        <v>651</v>
      </c>
      <c r="T10" s="6" t="s">
        <v>24</v>
      </c>
      <c r="U10" s="7">
        <v>0</v>
      </c>
      <c r="V10" s="5"/>
      <c r="W10" s="5"/>
      <c r="X10" s="526" t="s">
        <v>665</v>
      </c>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row>
    <row r="11" spans="2:241" s="4" customFormat="1" ht="25.5" hidden="1" customHeight="1" x14ac:dyDescent="0.3">
      <c r="B11" s="46"/>
      <c r="C11" s="395" t="s">
        <v>25</v>
      </c>
      <c r="D11" s="435" t="str">
        <f>'สรุปใช้งบ 31กค'!B15</f>
        <v>5020306000</v>
      </c>
      <c r="E11" s="501" t="s">
        <v>42</v>
      </c>
      <c r="F11" s="626" t="s">
        <v>654</v>
      </c>
      <c r="G11" s="627"/>
      <c r="H11" s="654" t="s">
        <v>43</v>
      </c>
      <c r="I11" s="643"/>
      <c r="J11" s="643"/>
      <c r="K11" s="643"/>
      <c r="L11" s="381">
        <v>0</v>
      </c>
      <c r="M11" s="307">
        <v>0</v>
      </c>
      <c r="N11" s="422">
        <f t="shared" si="2"/>
        <v>1</v>
      </c>
      <c r="O11" s="52">
        <f>'[4]ค่าเช่าชุดสูท 70'!$E$9</f>
        <v>50000</v>
      </c>
      <c r="P11" s="425">
        <f t="shared" si="0"/>
        <v>50000</v>
      </c>
      <c r="Q11" s="422">
        <f t="shared" si="3"/>
        <v>1</v>
      </c>
      <c r="R11" s="467" t="str">
        <f t="shared" si="1"/>
        <v>เพิ่มขึ้น</v>
      </c>
      <c r="S11" s="433" t="s">
        <v>636</v>
      </c>
      <c r="T11" s="6" t="s">
        <v>24</v>
      </c>
      <c r="U11" s="7">
        <v>0</v>
      </c>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row>
    <row r="12" spans="2:241" s="4" customFormat="1" ht="21.7" hidden="1" customHeight="1" x14ac:dyDescent="0.3">
      <c r="B12" s="600"/>
      <c r="C12" s="395" t="s">
        <v>25</v>
      </c>
      <c r="D12" s="377" t="str">
        <f>'สรุปใช้งบ 31กค'!B15</f>
        <v>5020306000</v>
      </c>
      <c r="E12" s="501" t="s">
        <v>44</v>
      </c>
      <c r="F12" s="626" t="s">
        <v>45</v>
      </c>
      <c r="G12" s="627"/>
      <c r="H12" s="643" t="s">
        <v>46</v>
      </c>
      <c r="I12" s="644"/>
      <c r="J12" s="644"/>
      <c r="K12" s="644"/>
      <c r="L12" s="378">
        <f>'สรุปใช้งบ 31กค'!H15</f>
        <v>165000</v>
      </c>
      <c r="M12" s="41">
        <f>'สรุปใช้งบ 31กค'!$L$15</f>
        <v>26800.35</v>
      </c>
      <c r="N12" s="418">
        <f t="shared" si="2"/>
        <v>-0.83757363636363635</v>
      </c>
      <c r="O12" s="52">
        <f>'[5]2570'!$H$13</f>
        <v>145000</v>
      </c>
      <c r="P12" s="413">
        <f t="shared" si="0"/>
        <v>-20000</v>
      </c>
      <c r="Q12" s="418">
        <f t="shared" si="3"/>
        <v>-0.12121212121212122</v>
      </c>
      <c r="R12" s="426" t="str">
        <f t="shared" si="1"/>
        <v>ลดลง</v>
      </c>
      <c r="S12" s="434" t="s">
        <v>47</v>
      </c>
      <c r="T12" s="6" t="s">
        <v>24</v>
      </c>
      <c r="U12" s="7">
        <v>0</v>
      </c>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row>
    <row r="13" spans="2:241" s="4" customFormat="1" ht="26.55" hidden="1" customHeight="1" x14ac:dyDescent="0.3">
      <c r="B13" s="600"/>
      <c r="C13" s="395" t="s">
        <v>25</v>
      </c>
      <c r="D13" s="377" t="str">
        <f>'สรุปใช้งบ 31กค'!B16</f>
        <v>5020402000</v>
      </c>
      <c r="E13" s="501" t="s">
        <v>48</v>
      </c>
      <c r="F13" s="628" t="s">
        <v>49</v>
      </c>
      <c r="G13" s="629"/>
      <c r="H13" s="645" t="s">
        <v>50</v>
      </c>
      <c r="I13" s="646"/>
      <c r="J13" s="646"/>
      <c r="K13" s="646"/>
      <c r="L13" s="378">
        <f>'สรุปใช้งบ 31กค'!H16</f>
        <v>1522500</v>
      </c>
      <c r="M13" s="41">
        <f>'สรุปใช้งบ 31กค'!$L$16</f>
        <v>257470.88999999998</v>
      </c>
      <c r="N13" s="417">
        <f t="shared" si="2"/>
        <v>-0.83088939901477832</v>
      </c>
      <c r="O13" s="52">
        <f>'[26]2570'!$H$15</f>
        <v>1522500</v>
      </c>
      <c r="P13" s="411">
        <f t="shared" si="0"/>
        <v>0</v>
      </c>
      <c r="Q13" s="527">
        <f t="shared" si="3"/>
        <v>0</v>
      </c>
      <c r="R13" s="426" t="str">
        <f t="shared" si="1"/>
        <v>--</v>
      </c>
      <c r="S13" s="436" t="s">
        <v>51</v>
      </c>
      <c r="T13" s="6" t="s">
        <v>24</v>
      </c>
      <c r="U13" s="7">
        <v>0</v>
      </c>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row>
    <row r="14" spans="2:241" s="5" customFormat="1" ht="23.55" hidden="1" customHeight="1" x14ac:dyDescent="0.35">
      <c r="B14" s="600"/>
      <c r="C14" s="603" t="s">
        <v>25</v>
      </c>
      <c r="D14" s="677" t="str">
        <f>'สรุปใช้งบ 31กค'!B17</f>
        <v>5031116000</v>
      </c>
      <c r="E14" s="683" t="s">
        <v>52</v>
      </c>
      <c r="F14" s="630" t="s">
        <v>53</v>
      </c>
      <c r="G14" s="631"/>
      <c r="H14" s="643" t="s">
        <v>54</v>
      </c>
      <c r="I14" s="644"/>
      <c r="J14" s="644"/>
      <c r="K14" s="644"/>
      <c r="L14" s="378">
        <f>SUM(L15:L19)</f>
        <v>55490000</v>
      </c>
      <c r="M14" s="41">
        <f>SUM(M15:M19)</f>
        <v>25990271.513333336</v>
      </c>
      <c r="N14" s="422">
        <f t="shared" si="2"/>
        <v>-0.53162242722412445</v>
      </c>
      <c r="O14" s="52">
        <f>SUM(O15:O19)</f>
        <v>59880600</v>
      </c>
      <c r="P14" s="425">
        <f t="shared" si="0"/>
        <v>4390600</v>
      </c>
      <c r="Q14" s="422">
        <f t="shared" si="3"/>
        <v>7.9124166516489458E-2</v>
      </c>
      <c r="R14" s="467" t="str">
        <f t="shared" si="1"/>
        <v>เพิ่มขึ้น</v>
      </c>
      <c r="S14" s="439" t="s">
        <v>55</v>
      </c>
      <c r="T14" s="6">
        <v>5</v>
      </c>
      <c r="U14" s="7">
        <f>SUM(U15:U19)</f>
        <v>101283400</v>
      </c>
    </row>
    <row r="15" spans="2:241" s="4" customFormat="1" ht="20.2" hidden="1" customHeight="1" x14ac:dyDescent="0.3">
      <c r="B15" s="600"/>
      <c r="C15" s="603"/>
      <c r="D15" s="678"/>
      <c r="E15" s="684"/>
      <c r="F15" s="632"/>
      <c r="G15" s="633"/>
      <c r="H15" s="649" t="s">
        <v>56</v>
      </c>
      <c r="I15" s="648"/>
      <c r="J15" s="648"/>
      <c r="K15" s="648"/>
      <c r="L15" s="379">
        <f>Dataผลพิปี69!U31</f>
        <v>25020000</v>
      </c>
      <c r="M15" s="42">
        <f>'[7]กลุ่ม 1'!$H$25</f>
        <v>13844752.41</v>
      </c>
      <c r="N15" s="423">
        <f t="shared" si="2"/>
        <v>-0.44665258153477216</v>
      </c>
      <c r="O15" s="53">
        <f>'[25]Template OS-2570 '!$AU$10+'[25]Template OS-2570 '!$AU$11+'[25]Template OS-2570 '!$AU$12</f>
        <v>30297600</v>
      </c>
      <c r="P15" s="421">
        <f t="shared" si="0"/>
        <v>5277600</v>
      </c>
      <c r="Q15" s="423">
        <f t="shared" si="3"/>
        <v>0.21093525179856121</v>
      </c>
      <c r="R15" s="424" t="str">
        <f t="shared" si="1"/>
        <v>เพิ่มขึ้น</v>
      </c>
      <c r="S15" s="658" t="s">
        <v>57</v>
      </c>
      <c r="T15" s="443">
        <v>1</v>
      </c>
      <c r="U15" s="9">
        <f>'[25]Template OS-2570 '!$BK$12</f>
        <v>76479500</v>
      </c>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row>
    <row r="16" spans="2:241" s="4" customFormat="1" ht="20.2" hidden="1" customHeight="1" x14ac:dyDescent="0.3">
      <c r="B16" s="600"/>
      <c r="C16" s="603"/>
      <c r="D16" s="678"/>
      <c r="E16" s="684"/>
      <c r="F16" s="632"/>
      <c r="G16" s="633"/>
      <c r="H16" s="649" t="s">
        <v>58</v>
      </c>
      <c r="I16" s="648"/>
      <c r="J16" s="648"/>
      <c r="K16" s="648"/>
      <c r="L16" s="379">
        <f>Dataผลพิปี69!U32</f>
        <v>6100000</v>
      </c>
      <c r="M16" s="42">
        <f>[7]กลุ่ม2!$H$43</f>
        <v>3041731.2800000003</v>
      </c>
      <c r="N16" s="466">
        <f t="shared" si="2"/>
        <v>-0.5013555278688524</v>
      </c>
      <c r="O16" s="53">
        <f>'[25]Template OS-2570 '!$AU$14</f>
        <v>5243500</v>
      </c>
      <c r="P16" s="414">
        <f t="shared" si="0"/>
        <v>-856500</v>
      </c>
      <c r="Q16" s="466">
        <f t="shared" si="3"/>
        <v>-0.14040983606557378</v>
      </c>
      <c r="R16" s="442" t="str">
        <f t="shared" si="1"/>
        <v>ลดลง</v>
      </c>
      <c r="S16" s="659"/>
      <c r="T16" s="443">
        <v>1</v>
      </c>
      <c r="U16" s="9">
        <f>'[25]Template OS-2570 '!$BK$14</f>
        <v>4372900</v>
      </c>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row>
    <row r="17" spans="2:241" s="4" customFormat="1" ht="20.2" hidden="1" customHeight="1" x14ac:dyDescent="0.3">
      <c r="B17" s="600"/>
      <c r="C17" s="603" t="s">
        <v>25</v>
      </c>
      <c r="D17" s="678"/>
      <c r="E17" s="683" t="s">
        <v>59</v>
      </c>
      <c r="F17" s="632"/>
      <c r="G17" s="633"/>
      <c r="H17" s="695" t="s">
        <v>60</v>
      </c>
      <c r="I17" s="696"/>
      <c r="J17" s="696"/>
      <c r="K17" s="696"/>
      <c r="L17" s="379">
        <f>Dataผลพิปี69!U33</f>
        <v>6170000</v>
      </c>
      <c r="M17" s="42">
        <f>[9]กลุ่ม3!$H$43</f>
        <v>1942537.4</v>
      </c>
      <c r="N17" s="466">
        <f t="shared" si="2"/>
        <v>-0.68516411669367905</v>
      </c>
      <c r="O17" s="53">
        <f>'[25]Template OS-2570 '!$AU$18</f>
        <v>5458400</v>
      </c>
      <c r="P17" s="414">
        <f t="shared" si="0"/>
        <v>-711600</v>
      </c>
      <c r="Q17" s="466">
        <f t="shared" si="3"/>
        <v>-0.11533225283630466</v>
      </c>
      <c r="R17" s="442" t="str">
        <f t="shared" si="1"/>
        <v>ลดลง</v>
      </c>
      <c r="S17" s="659"/>
      <c r="T17" s="443">
        <v>1</v>
      </c>
      <c r="U17" s="9">
        <f>'[25]Template OS-2570 '!$BK$18</f>
        <v>4688000</v>
      </c>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row>
    <row r="18" spans="2:241" s="4" customFormat="1" ht="20.2" hidden="1" customHeight="1" x14ac:dyDescent="0.3">
      <c r="B18" s="441"/>
      <c r="C18" s="603"/>
      <c r="D18" s="678"/>
      <c r="E18" s="684"/>
      <c r="F18" s="632"/>
      <c r="G18" s="633"/>
      <c r="H18" s="649" t="s">
        <v>61</v>
      </c>
      <c r="I18" s="648"/>
      <c r="J18" s="648"/>
      <c r="K18" s="648"/>
      <c r="L18" s="379">
        <f>Dataผลพิปี69!U34</f>
        <v>6200000</v>
      </c>
      <c r="M18" s="42">
        <f>[9]กลุ่ม4!$H$43</f>
        <v>3452552.16</v>
      </c>
      <c r="N18" s="466">
        <f t="shared" si="2"/>
        <v>-0.44313674838709671</v>
      </c>
      <c r="O18" s="53">
        <f>'[25]Template OS-2570 '!$AU$20</f>
        <v>5949500</v>
      </c>
      <c r="P18" s="414">
        <f t="shared" si="0"/>
        <v>-250500</v>
      </c>
      <c r="Q18" s="466">
        <f t="shared" si="3"/>
        <v>-4.0403225806451615E-2</v>
      </c>
      <c r="R18" s="442" t="str">
        <f t="shared" si="1"/>
        <v>ลดลง</v>
      </c>
      <c r="S18" s="656" t="s">
        <v>658</v>
      </c>
      <c r="T18" s="443">
        <v>1</v>
      </c>
      <c r="U18" s="9">
        <f>'[25]Template OS-2570 '!$BK$20</f>
        <v>4961200</v>
      </c>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row>
    <row r="19" spans="2:241" s="4" customFormat="1" ht="36" hidden="1" customHeight="1" x14ac:dyDescent="0.3">
      <c r="B19" s="441"/>
      <c r="C19" s="603"/>
      <c r="D19" s="679"/>
      <c r="E19" s="684"/>
      <c r="F19" s="634"/>
      <c r="G19" s="635"/>
      <c r="H19" s="649" t="s">
        <v>62</v>
      </c>
      <c r="I19" s="648"/>
      <c r="J19" s="648"/>
      <c r="K19" s="648"/>
      <c r="L19" s="379">
        <f>Dataผลพิปี69!U35</f>
        <v>12000000</v>
      </c>
      <c r="M19" s="42">
        <f>[9]กลุ่ม5!$H$53</f>
        <v>3708698.2633333337</v>
      </c>
      <c r="N19" s="423">
        <f t="shared" si="2"/>
        <v>-0.69094181138888888</v>
      </c>
      <c r="O19" s="53">
        <f>'[25]Template OS-2570 '!$AU$24</f>
        <v>12931600</v>
      </c>
      <c r="P19" s="421">
        <f t="shared" si="0"/>
        <v>931600</v>
      </c>
      <c r="Q19" s="423">
        <f t="shared" si="3"/>
        <v>7.7633333333333443E-2</v>
      </c>
      <c r="R19" s="424" t="str">
        <f t="shared" si="1"/>
        <v>เพิ่มขึ้น</v>
      </c>
      <c r="S19" s="657"/>
      <c r="T19" s="443">
        <v>1</v>
      </c>
      <c r="U19" s="9">
        <f>'[25]Template OS-2570 '!$AP$24</f>
        <v>10781800</v>
      </c>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row>
    <row r="20" spans="2:241" s="4" customFormat="1" ht="20.2" hidden="1" customHeight="1" x14ac:dyDescent="0.3">
      <c r="B20" s="387"/>
      <c r="C20" s="395"/>
      <c r="D20" s="377" t="s">
        <v>20</v>
      </c>
      <c r="E20" s="502"/>
      <c r="F20" s="636" t="s">
        <v>63</v>
      </c>
      <c r="G20" s="637"/>
      <c r="H20" s="650" t="s">
        <v>22</v>
      </c>
      <c r="I20" s="651"/>
      <c r="J20" s="651"/>
      <c r="K20" s="651"/>
      <c r="L20" s="380">
        <f>SUM(L21:L22)</f>
        <v>4372900</v>
      </c>
      <c r="M20" s="43">
        <f>SUM(M21:M22)</f>
        <v>2170381</v>
      </c>
      <c r="N20" s="422">
        <f t="shared" si="2"/>
        <v>-0.50367467813121725</v>
      </c>
      <c r="O20" s="54">
        <f>SUM(O21:O22)</f>
        <v>4376900</v>
      </c>
      <c r="P20" s="472">
        <f t="shared" si="0"/>
        <v>4000</v>
      </c>
      <c r="Q20" s="422">
        <f t="shared" si="3"/>
        <v>9.1472478218124209E-4</v>
      </c>
      <c r="R20" s="473" t="str">
        <f t="shared" si="1"/>
        <v>เพิ่มขึ้น</v>
      </c>
      <c r="S20" s="474" t="s">
        <v>655</v>
      </c>
      <c r="T20" s="13" t="s">
        <v>24</v>
      </c>
      <c r="U20" s="14">
        <v>0</v>
      </c>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row>
    <row r="21" spans="2:241" s="4" customFormat="1" ht="33.700000000000003" hidden="1" customHeight="1" x14ac:dyDescent="0.3">
      <c r="B21" s="431" t="s">
        <v>33</v>
      </c>
      <c r="C21" s="15"/>
      <c r="D21" s="377">
        <f>'สรุปใช้งบ 31กค'!B18</f>
        <v>5031120000</v>
      </c>
      <c r="E21" s="501" t="s">
        <v>64</v>
      </c>
      <c r="F21" s="399"/>
      <c r="G21" s="21" t="s">
        <v>65</v>
      </c>
      <c r="H21" s="647" t="s">
        <v>66</v>
      </c>
      <c r="I21" s="648"/>
      <c r="J21" s="648"/>
      <c r="K21" s="649"/>
      <c r="L21" s="379">
        <f>'สรุปใช้งบ 31กค'!$H$18</f>
        <v>31000</v>
      </c>
      <c r="M21" s="42">
        <f>'สรุปใช้งบ 31กค'!$L$18</f>
        <v>24931</v>
      </c>
      <c r="N21" s="423">
        <f t="shared" si="2"/>
        <v>-0.1957741935483871</v>
      </c>
      <c r="O21" s="53">
        <f>'[10]2570'!$C$22</f>
        <v>35000</v>
      </c>
      <c r="P21" s="421">
        <f t="shared" si="0"/>
        <v>4000</v>
      </c>
      <c r="Q21" s="423">
        <f t="shared" si="3"/>
        <v>0.12903225806451624</v>
      </c>
      <c r="R21" s="424" t="str">
        <f t="shared" si="1"/>
        <v>เพิ่มขึ้น</v>
      </c>
      <c r="S21" s="471" t="s">
        <v>656</v>
      </c>
      <c r="T21" s="8" t="s">
        <v>24</v>
      </c>
      <c r="U21" s="9">
        <v>0</v>
      </c>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row>
    <row r="22" spans="2:241" s="4" customFormat="1" ht="20.2" hidden="1" customHeight="1" x14ac:dyDescent="0.3">
      <c r="B22" s="600"/>
      <c r="C22" s="395" t="s">
        <v>67</v>
      </c>
      <c r="D22" s="377" t="str">
        <f>'สรุปใช้งบ 31กค'!B19</f>
        <v>5031143000</v>
      </c>
      <c r="E22" s="501" t="s">
        <v>68</v>
      </c>
      <c r="F22" s="400"/>
      <c r="G22" s="28" t="s">
        <v>69</v>
      </c>
      <c r="H22" s="647" t="s">
        <v>70</v>
      </c>
      <c r="I22" s="648"/>
      <c r="J22" s="648"/>
      <c r="K22" s="649"/>
      <c r="L22" s="379">
        <f>'สรุปใช้งบ 31กค'!$H$19</f>
        <v>4341900</v>
      </c>
      <c r="M22" s="42">
        <f>'สรุปใช้งบ 31กค'!$L$19</f>
        <v>2145450</v>
      </c>
      <c r="N22" s="468">
        <f t="shared" si="2"/>
        <v>-0.50587300490568643</v>
      </c>
      <c r="O22" s="53">
        <f>'[11]2570'!$T$38</f>
        <v>4341900</v>
      </c>
      <c r="P22" s="388">
        <f t="shared" si="0"/>
        <v>0</v>
      </c>
      <c r="Q22" s="529">
        <f t="shared" si="3"/>
        <v>0</v>
      </c>
      <c r="R22" s="49" t="str">
        <f t="shared" si="1"/>
        <v>--</v>
      </c>
      <c r="S22" s="437" t="s">
        <v>657</v>
      </c>
      <c r="T22" s="8" t="s">
        <v>24</v>
      </c>
      <c r="U22" s="9">
        <v>0</v>
      </c>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row>
    <row r="23" spans="2:241" s="4" customFormat="1" ht="20.55" hidden="1" customHeight="1" x14ac:dyDescent="0.3">
      <c r="B23" s="600"/>
      <c r="C23" s="718" t="s">
        <v>25</v>
      </c>
      <c r="D23" s="674">
        <v>5031214000</v>
      </c>
      <c r="E23" s="680" t="s">
        <v>71</v>
      </c>
      <c r="F23" s="638" t="s">
        <v>72</v>
      </c>
      <c r="G23" s="639"/>
      <c r="H23" s="643" t="s">
        <v>73</v>
      </c>
      <c r="I23" s="644"/>
      <c r="J23" s="644"/>
      <c r="K23" s="644"/>
      <c r="L23" s="378">
        <f>SUM(L24:L26)</f>
        <v>6789300</v>
      </c>
      <c r="M23" s="41">
        <f>SUM(M24:M26)</f>
        <v>3394575</v>
      </c>
      <c r="N23" s="418">
        <f t="shared" si="2"/>
        <v>-0.50001104679422026</v>
      </c>
      <c r="O23" s="52">
        <f>SUM(O24:O26)</f>
        <v>1977164.375</v>
      </c>
      <c r="P23" s="413">
        <f t="shared" si="0"/>
        <v>-4812135.625</v>
      </c>
      <c r="Q23" s="418">
        <f t="shared" si="3"/>
        <v>-0.70878229346177068</v>
      </c>
      <c r="R23" s="469" t="str">
        <f t="shared" si="1"/>
        <v>ลดลง</v>
      </c>
      <c r="S23" s="48" t="s">
        <v>74</v>
      </c>
      <c r="T23" s="6">
        <f>SUM(T24:T26)</f>
        <v>2</v>
      </c>
      <c r="U23" s="7">
        <f>SUM(U24:U26)</f>
        <v>2270889.375</v>
      </c>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row>
    <row r="24" spans="2:241" s="4" customFormat="1" ht="25.05" hidden="1" customHeight="1" x14ac:dyDescent="0.3">
      <c r="B24" s="600"/>
      <c r="C24" s="718"/>
      <c r="D24" s="675"/>
      <c r="E24" s="681"/>
      <c r="F24" s="640"/>
      <c r="G24" s="637"/>
      <c r="H24" s="649" t="s">
        <v>75</v>
      </c>
      <c r="I24" s="648"/>
      <c r="J24" s="648"/>
      <c r="K24" s="648"/>
      <c r="L24" s="379">
        <f>'สรุปใช้งบ 31กค'!$I$21</f>
        <v>2263100</v>
      </c>
      <c r="M24" s="42">
        <f>'สรุปใช้งบ 31กค'!$L$21</f>
        <v>1131525</v>
      </c>
      <c r="N24" s="466">
        <f t="shared" si="2"/>
        <v>-0.50001104679422026</v>
      </c>
      <c r="O24" s="53">
        <f>'[12]new 2570'!$E$7</f>
        <v>1844150</v>
      </c>
      <c r="P24" s="414">
        <f t="shared" si="0"/>
        <v>-418950</v>
      </c>
      <c r="Q24" s="466">
        <f t="shared" si="3"/>
        <v>-0.18512217754407667</v>
      </c>
      <c r="R24" s="442" t="str">
        <f t="shared" si="1"/>
        <v>ลดลง</v>
      </c>
      <c r="S24" s="652" t="s">
        <v>660</v>
      </c>
      <c r="T24" s="8">
        <v>1</v>
      </c>
      <c r="U24" s="9">
        <f>'[13]new 2570'!$F$7+'[13]new 2570'!$G$7</f>
        <v>2137875</v>
      </c>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row>
    <row r="25" spans="2:241" s="4" customFormat="1" ht="28.5" hidden="1" customHeight="1" x14ac:dyDescent="0.3">
      <c r="B25" s="600"/>
      <c r="C25" s="718"/>
      <c r="D25" s="675"/>
      <c r="E25" s="681"/>
      <c r="F25" s="640"/>
      <c r="G25" s="637"/>
      <c r="H25" s="649" t="s">
        <v>76</v>
      </c>
      <c r="I25" s="648"/>
      <c r="J25" s="648"/>
      <c r="K25" s="648"/>
      <c r="L25" s="379">
        <f>'สรุปใช้งบ 31กค'!$I$21</f>
        <v>2263100</v>
      </c>
      <c r="M25" s="42">
        <f>'สรุปใช้งบ 31กค'!$L$21</f>
        <v>1131525</v>
      </c>
      <c r="N25" s="466">
        <f t="shared" si="2"/>
        <v>-0.50001104679422026</v>
      </c>
      <c r="O25" s="53">
        <f>'[12]new 2570'!$E$11</f>
        <v>133014.375</v>
      </c>
      <c r="P25" s="414">
        <f t="shared" si="0"/>
        <v>-2130085.625</v>
      </c>
      <c r="Q25" s="466">
        <f t="shared" si="3"/>
        <v>-0.94122470284123549</v>
      </c>
      <c r="R25" s="442" t="str">
        <f t="shared" si="1"/>
        <v>ลดลง</v>
      </c>
      <c r="S25" s="653"/>
      <c r="T25" s="8">
        <v>1</v>
      </c>
      <c r="U25" s="9">
        <f>'[13]new 2570'!$F$11+'[13]new 2570'!$G$11</f>
        <v>133014.375</v>
      </c>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row>
    <row r="26" spans="2:241" s="4" customFormat="1" ht="24.7" hidden="1" customHeight="1" x14ac:dyDescent="0.3">
      <c r="B26" s="600"/>
      <c r="C26" s="718"/>
      <c r="D26" s="676"/>
      <c r="E26" s="682"/>
      <c r="F26" s="641"/>
      <c r="G26" s="642"/>
      <c r="H26" s="649" t="s">
        <v>77</v>
      </c>
      <c r="I26" s="648"/>
      <c r="J26" s="648"/>
      <c r="K26" s="648"/>
      <c r="L26" s="379">
        <f>'สรุปใช้งบ 31กค'!$I$21</f>
        <v>2263100</v>
      </c>
      <c r="M26" s="42">
        <f>'สรุปใช้งบ 31กค'!$L$21</f>
        <v>1131525</v>
      </c>
      <c r="N26" s="466">
        <f t="shared" si="2"/>
        <v>-0.50001104679422026</v>
      </c>
      <c r="O26" s="53">
        <f>'[13]new 2570'!$E$15</f>
        <v>0</v>
      </c>
      <c r="P26" s="414">
        <f t="shared" si="0"/>
        <v>-2263100</v>
      </c>
      <c r="Q26" s="466">
        <f t="shared" si="3"/>
        <v>-1</v>
      </c>
      <c r="R26" s="442" t="str">
        <f t="shared" si="1"/>
        <v>ลดลง</v>
      </c>
      <c r="S26" s="475" t="s">
        <v>661</v>
      </c>
      <c r="T26" s="8" t="s">
        <v>78</v>
      </c>
      <c r="U26" s="9">
        <v>0</v>
      </c>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c r="DP26" s="5"/>
      <c r="DQ26" s="5"/>
      <c r="DR26" s="5"/>
      <c r="DS26" s="5"/>
      <c r="DT26" s="5"/>
      <c r="DU26" s="5"/>
      <c r="DV26" s="5"/>
      <c r="DW26" s="5"/>
      <c r="DX26" s="5"/>
      <c r="DY26" s="5"/>
      <c r="DZ26" s="5"/>
      <c r="EA26" s="5"/>
      <c r="EB26" s="5"/>
      <c r="EC26" s="5"/>
      <c r="ED26" s="5"/>
      <c r="EE26" s="5"/>
      <c r="EF26" s="5"/>
      <c r="EG26" s="5"/>
      <c r="EH26" s="5"/>
      <c r="EI26" s="5"/>
      <c r="EJ26" s="5"/>
      <c r="EK26" s="5"/>
      <c r="EL26" s="5"/>
      <c r="EM26" s="5"/>
      <c r="EN26" s="5"/>
      <c r="EO26" s="5"/>
      <c r="EP26" s="5"/>
      <c r="EQ26" s="5"/>
      <c r="ER26" s="5"/>
      <c r="ES26" s="5"/>
      <c r="ET26" s="5"/>
      <c r="EU26" s="5"/>
      <c r="EV26" s="5"/>
      <c r="EW26" s="5"/>
      <c r="EX26" s="5"/>
      <c r="EY26" s="5"/>
      <c r="EZ26" s="5"/>
      <c r="FA26" s="5"/>
      <c r="FB26" s="5"/>
      <c r="FC26" s="5"/>
      <c r="FD26" s="5"/>
      <c r="FE26" s="5"/>
      <c r="FF26" s="5"/>
      <c r="FG26" s="5"/>
      <c r="FH26" s="5"/>
      <c r="FI26" s="5"/>
      <c r="FJ26" s="5"/>
      <c r="FK26" s="5"/>
      <c r="FL26" s="5"/>
      <c r="FM26" s="5"/>
      <c r="FN26" s="5"/>
      <c r="FO26" s="5"/>
      <c r="FP26" s="5"/>
      <c r="FQ26" s="5"/>
      <c r="FR26" s="5"/>
      <c r="FS26" s="5"/>
      <c r="FT26" s="5"/>
      <c r="FU26" s="5"/>
      <c r="FV26" s="5"/>
      <c r="FW26" s="5"/>
      <c r="FX26" s="5"/>
      <c r="FY26" s="5"/>
      <c r="FZ26" s="5"/>
      <c r="GA26" s="5"/>
      <c r="GB26" s="5"/>
      <c r="GC26" s="5"/>
      <c r="GD26" s="5"/>
      <c r="GE26" s="5"/>
      <c r="GF26" s="5"/>
      <c r="GG26" s="5"/>
      <c r="GH26" s="5"/>
      <c r="GI26" s="5"/>
      <c r="GJ26" s="5"/>
      <c r="GK26" s="5"/>
      <c r="GL26" s="5"/>
      <c r="GM26" s="5"/>
      <c r="GN26" s="5"/>
      <c r="GO26" s="5"/>
      <c r="GP26" s="5"/>
      <c r="GQ26" s="5"/>
      <c r="GR26" s="5"/>
      <c r="GS26" s="5"/>
      <c r="GT26" s="5"/>
      <c r="GU26" s="5"/>
      <c r="GV26" s="5"/>
      <c r="GW26" s="5"/>
      <c r="GX26" s="5"/>
      <c r="GY26" s="5"/>
      <c r="GZ26" s="5"/>
      <c r="HA26" s="5"/>
      <c r="HB26" s="5"/>
      <c r="HC26" s="5"/>
      <c r="HD26" s="5"/>
      <c r="HE26" s="5"/>
      <c r="HF26" s="5"/>
      <c r="HG26" s="5"/>
      <c r="HH26" s="5"/>
      <c r="HI26" s="5"/>
      <c r="HJ26" s="5"/>
      <c r="HK26" s="5"/>
      <c r="HL26" s="5"/>
      <c r="HM26" s="5"/>
      <c r="HN26" s="5"/>
      <c r="HO26" s="5"/>
      <c r="HP26" s="5"/>
      <c r="HQ26" s="5"/>
      <c r="HR26" s="5"/>
      <c r="HS26" s="5"/>
      <c r="HT26" s="5"/>
      <c r="HU26" s="5"/>
      <c r="HV26" s="5"/>
      <c r="HW26" s="5"/>
      <c r="HX26" s="5"/>
      <c r="HY26" s="5"/>
      <c r="HZ26" s="5"/>
      <c r="IA26" s="5"/>
      <c r="IB26" s="5"/>
      <c r="IC26" s="5"/>
      <c r="ID26" s="5"/>
      <c r="IE26" s="5"/>
      <c r="IF26" s="5"/>
      <c r="IG26" s="5"/>
    </row>
    <row r="27" spans="2:241" s="4" customFormat="1" ht="29.55" hidden="1" customHeight="1" x14ac:dyDescent="0.3">
      <c r="B27" s="600"/>
      <c r="C27" s="395"/>
      <c r="D27" s="377" t="str">
        <f>'สรุปใช้งบ 31กค'!B31</f>
        <v>5031218000</v>
      </c>
      <c r="E27" s="503" t="s">
        <v>79</v>
      </c>
      <c r="F27" s="715" t="s">
        <v>80</v>
      </c>
      <c r="G27" s="716"/>
      <c r="H27" s="713" t="s">
        <v>81</v>
      </c>
      <c r="I27" s="714"/>
      <c r="J27" s="714"/>
      <c r="K27" s="714"/>
      <c r="L27" s="378">
        <f>'สรุปใช้งบ 31กค'!H31</f>
        <v>147000</v>
      </c>
      <c r="M27" s="41">
        <f>'สรุปใช้งบ 31กค'!L31</f>
        <v>46866</v>
      </c>
      <c r="N27" s="422">
        <f t="shared" si="2"/>
        <v>-0.68118367346938768</v>
      </c>
      <c r="O27" s="52">
        <f>'[14]2570'!$F$16</f>
        <v>195000</v>
      </c>
      <c r="P27" s="425">
        <f t="shared" si="0"/>
        <v>48000</v>
      </c>
      <c r="Q27" s="422">
        <f t="shared" si="3"/>
        <v>0.32653061224489788</v>
      </c>
      <c r="R27" s="473" t="str">
        <f t="shared" si="1"/>
        <v>เพิ่มขึ้น</v>
      </c>
      <c r="S27" s="476" t="s">
        <v>662</v>
      </c>
      <c r="T27" s="6" t="s">
        <v>24</v>
      </c>
      <c r="U27" s="7">
        <v>0</v>
      </c>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row>
    <row r="28" spans="2:241" s="4" customFormat="1" ht="54.5" hidden="1" customHeight="1" x14ac:dyDescent="0.3">
      <c r="B28" s="431" t="s">
        <v>33</v>
      </c>
      <c r="C28" s="395"/>
      <c r="D28" s="377">
        <v>5031219000</v>
      </c>
      <c r="E28" s="503" t="s">
        <v>82</v>
      </c>
      <c r="F28" s="690" t="s">
        <v>83</v>
      </c>
      <c r="G28" s="691"/>
      <c r="H28" s="654" t="s">
        <v>84</v>
      </c>
      <c r="I28" s="643"/>
      <c r="J28" s="643"/>
      <c r="K28" s="643"/>
      <c r="L28" s="378">
        <f>'สรุปใช้งบ 31กค'!H24</f>
        <v>305300</v>
      </c>
      <c r="M28" s="41">
        <f>'สรุปใช้งบ 31กค'!L24</f>
        <v>126239.72</v>
      </c>
      <c r="N28" s="422">
        <f t="shared" si="2"/>
        <v>-0.58650599410415982</v>
      </c>
      <c r="O28" s="52">
        <f>'[15]2570'!$E$8</f>
        <v>1580000</v>
      </c>
      <c r="P28" s="425">
        <f t="shared" si="0"/>
        <v>1274700</v>
      </c>
      <c r="Q28" s="422">
        <f t="shared" si="3"/>
        <v>4.1752374713396661</v>
      </c>
      <c r="R28" s="469" t="str">
        <f t="shared" si="1"/>
        <v>เพิ่มขึ้น</v>
      </c>
      <c r="S28" s="477" t="s">
        <v>659</v>
      </c>
      <c r="T28" s="6" t="s">
        <v>24</v>
      </c>
      <c r="U28" s="7">
        <v>0</v>
      </c>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row>
    <row r="29" spans="2:241" s="4" customFormat="1" ht="29.55" hidden="1" customHeight="1" x14ac:dyDescent="0.3">
      <c r="B29" s="387"/>
      <c r="C29" s="395" t="s">
        <v>67</v>
      </c>
      <c r="D29" s="377" t="str">
        <f>'สรุปใช้งบ 31กค'!B26</f>
        <v>5031138000</v>
      </c>
      <c r="E29" s="503" t="s">
        <v>85</v>
      </c>
      <c r="F29" s="724" t="s">
        <v>86</v>
      </c>
      <c r="G29" s="725"/>
      <c r="H29" s="654" t="s">
        <v>645</v>
      </c>
      <c r="I29" s="643"/>
      <c r="J29" s="643"/>
      <c r="K29" s="643"/>
      <c r="L29" s="378">
        <f>'สรุปใช้งบ 31กค'!H26</f>
        <v>150000</v>
      </c>
      <c r="M29" s="41">
        <f>'สรุปใช้งบ 31กค'!L26</f>
        <v>0</v>
      </c>
      <c r="N29" s="416">
        <f t="shared" si="2"/>
        <v>-1</v>
      </c>
      <c r="O29" s="52">
        <f>'[16]2570'!$D$13</f>
        <v>150000</v>
      </c>
      <c r="P29" s="411">
        <f t="shared" si="0"/>
        <v>0</v>
      </c>
      <c r="Q29" s="528">
        <f t="shared" si="3"/>
        <v>0</v>
      </c>
      <c r="R29" s="469" t="str">
        <f t="shared" si="1"/>
        <v>--</v>
      </c>
      <c r="S29" s="521" t="s">
        <v>666</v>
      </c>
      <c r="T29" s="6" t="s">
        <v>24</v>
      </c>
      <c r="U29" s="7">
        <v>0</v>
      </c>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row>
    <row r="30" spans="2:241" s="4" customFormat="1" ht="28.5" hidden="1" customHeight="1" x14ac:dyDescent="0.3">
      <c r="B30" s="600"/>
      <c r="C30" s="395" t="s">
        <v>67</v>
      </c>
      <c r="D30" s="377" t="str">
        <f>'สรุปใช้งบ 31กค'!B27</f>
        <v>5031144000</v>
      </c>
      <c r="E30" s="503" t="s">
        <v>88</v>
      </c>
      <c r="F30" s="724" t="s">
        <v>89</v>
      </c>
      <c r="G30" s="725"/>
      <c r="H30" s="654" t="s">
        <v>90</v>
      </c>
      <c r="I30" s="643"/>
      <c r="J30" s="643"/>
      <c r="K30" s="643"/>
      <c r="L30" s="378">
        <f>'สรุปใช้งบ 31กค'!H27</f>
        <v>80000</v>
      </c>
      <c r="M30" s="41">
        <f>'สรุปใช้งบ 31กค'!L27</f>
        <v>24068</v>
      </c>
      <c r="N30" s="417">
        <f t="shared" si="2"/>
        <v>-0.69914999999999994</v>
      </c>
      <c r="O30" s="52">
        <f>'[17]2570'!$C$20</f>
        <v>80000</v>
      </c>
      <c r="P30" s="411">
        <f t="shared" si="0"/>
        <v>0</v>
      </c>
      <c r="Q30" s="527">
        <f t="shared" si="3"/>
        <v>0</v>
      </c>
      <c r="R30" s="469" t="str">
        <f t="shared" si="1"/>
        <v>--</v>
      </c>
      <c r="S30" s="440" t="s">
        <v>91</v>
      </c>
      <c r="T30" s="6" t="s">
        <v>24</v>
      </c>
      <c r="U30" s="7">
        <v>0</v>
      </c>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5"/>
      <c r="BS30" s="5"/>
      <c r="BT30" s="5"/>
      <c r="BU30" s="5"/>
      <c r="BV30" s="5"/>
      <c r="BW30" s="5"/>
      <c r="BX30" s="5"/>
      <c r="BY30" s="5"/>
      <c r="BZ30" s="5"/>
      <c r="CA30" s="5"/>
      <c r="CB30" s="5"/>
      <c r="CC30" s="5"/>
      <c r="CD30" s="5"/>
      <c r="CE30" s="5"/>
      <c r="CF30" s="5"/>
      <c r="CG30" s="5"/>
      <c r="CH30" s="5"/>
      <c r="CI30" s="5"/>
      <c r="CJ30" s="5"/>
      <c r="CK30" s="5"/>
      <c r="CL30" s="5"/>
      <c r="CM30" s="5"/>
      <c r="CN30" s="5"/>
      <c r="CO30" s="5"/>
      <c r="CP30" s="5"/>
      <c r="CQ30" s="5"/>
      <c r="CR30" s="5"/>
      <c r="CS30" s="5"/>
      <c r="CT30" s="5"/>
      <c r="CU30" s="5"/>
      <c r="CV30" s="5"/>
      <c r="CW30" s="5"/>
      <c r="CX30" s="5"/>
      <c r="CY30" s="5"/>
      <c r="CZ30" s="5"/>
      <c r="DA30" s="5"/>
      <c r="DB30" s="5"/>
      <c r="DC30" s="5"/>
      <c r="DD30" s="5"/>
      <c r="DE30" s="5"/>
      <c r="DF30" s="5"/>
      <c r="DG30" s="5"/>
      <c r="DH30" s="5"/>
      <c r="DI30" s="5"/>
      <c r="DJ30" s="5"/>
      <c r="DK30" s="5"/>
      <c r="DL30" s="5"/>
      <c r="DM30" s="5"/>
      <c r="DN30" s="5"/>
      <c r="DO30" s="5"/>
      <c r="DP30" s="5"/>
      <c r="DQ30" s="5"/>
      <c r="DR30" s="5"/>
      <c r="DS30" s="5"/>
      <c r="DT30" s="5"/>
      <c r="DU30" s="5"/>
      <c r="DV30" s="5"/>
      <c r="DW30" s="5"/>
      <c r="DX30" s="5"/>
      <c r="DY30" s="5"/>
      <c r="DZ30" s="5"/>
      <c r="EA30" s="5"/>
      <c r="EB30" s="5"/>
      <c r="EC30" s="5"/>
      <c r="ED30" s="5"/>
      <c r="EE30" s="5"/>
      <c r="EF30" s="5"/>
      <c r="EG30" s="5"/>
      <c r="EH30" s="5"/>
      <c r="EI30" s="5"/>
      <c r="EJ30" s="5"/>
      <c r="EK30" s="5"/>
      <c r="EL30" s="5"/>
      <c r="EM30" s="5"/>
      <c r="EN30" s="5"/>
      <c r="EO30" s="5"/>
      <c r="EP30" s="5"/>
      <c r="EQ30" s="5"/>
      <c r="ER30" s="5"/>
      <c r="ES30" s="5"/>
      <c r="ET30" s="5"/>
      <c r="EU30" s="5"/>
      <c r="EV30" s="5"/>
      <c r="EW30" s="5"/>
      <c r="EX30" s="5"/>
      <c r="EY30" s="5"/>
      <c r="EZ30" s="5"/>
      <c r="FA30" s="5"/>
      <c r="FB30" s="5"/>
      <c r="FC30" s="5"/>
      <c r="FD30" s="5"/>
      <c r="FE30" s="5"/>
      <c r="FF30" s="5"/>
      <c r="FG30" s="5"/>
      <c r="FH30" s="5"/>
      <c r="FI30" s="5"/>
      <c r="FJ30" s="5"/>
      <c r="FK30" s="5"/>
      <c r="FL30" s="5"/>
      <c r="FM30" s="5"/>
      <c r="FN30" s="5"/>
      <c r="FO30" s="5"/>
      <c r="FP30" s="5"/>
      <c r="FQ30" s="5"/>
      <c r="FR30" s="5"/>
      <c r="FS30" s="5"/>
      <c r="FT30" s="5"/>
      <c r="FU30" s="5"/>
      <c r="FV30" s="5"/>
      <c r="FW30" s="5"/>
      <c r="FX30" s="5"/>
      <c r="FY30" s="5"/>
      <c r="FZ30" s="5"/>
      <c r="GA30" s="5"/>
      <c r="GB30" s="5"/>
      <c r="GC30" s="5"/>
      <c r="GD30" s="5"/>
      <c r="GE30" s="5"/>
      <c r="GF30" s="5"/>
      <c r="GG30" s="5"/>
      <c r="GH30" s="5"/>
      <c r="GI30" s="5"/>
      <c r="GJ30" s="5"/>
      <c r="GK30" s="5"/>
      <c r="GL30" s="5"/>
      <c r="GM30" s="5"/>
      <c r="GN30" s="5"/>
      <c r="GO30" s="5"/>
      <c r="GP30" s="5"/>
      <c r="GQ30" s="5"/>
      <c r="GR30" s="5"/>
      <c r="GS30" s="5"/>
      <c r="GT30" s="5"/>
      <c r="GU30" s="5"/>
      <c r="GV30" s="5"/>
      <c r="GW30" s="5"/>
      <c r="GX30" s="5"/>
      <c r="GY30" s="5"/>
      <c r="GZ30" s="5"/>
      <c r="HA30" s="5"/>
      <c r="HB30" s="5"/>
      <c r="HC30" s="5"/>
      <c r="HD30" s="5"/>
      <c r="HE30" s="5"/>
      <c r="HF30" s="5"/>
      <c r="HG30" s="5"/>
      <c r="HH30" s="5"/>
      <c r="HI30" s="5"/>
      <c r="HJ30" s="5"/>
      <c r="HK30" s="5"/>
      <c r="HL30" s="5"/>
      <c r="HM30" s="5"/>
      <c r="HN30" s="5"/>
      <c r="HO30" s="5"/>
      <c r="HP30" s="5"/>
      <c r="HQ30" s="5"/>
      <c r="HR30" s="5"/>
      <c r="HS30" s="5"/>
      <c r="HT30" s="5"/>
      <c r="HU30" s="5"/>
      <c r="HV30" s="5"/>
      <c r="HW30" s="5"/>
      <c r="HX30" s="5"/>
      <c r="HY30" s="5"/>
      <c r="HZ30" s="5"/>
      <c r="IA30" s="5"/>
      <c r="IB30" s="5"/>
      <c r="IC30" s="5"/>
      <c r="ID30" s="5"/>
      <c r="IE30" s="5"/>
      <c r="IF30" s="5"/>
      <c r="IG30" s="5"/>
    </row>
    <row r="31" spans="2:241" s="4" customFormat="1" ht="19.5" hidden="1" customHeight="1" x14ac:dyDescent="0.3">
      <c r="B31" s="600"/>
      <c r="C31" s="603" t="s">
        <v>25</v>
      </c>
      <c r="D31" s="677" t="str">
        <f>'สรุปใช้งบ 31กค'!B28</f>
        <v>5031134000</v>
      </c>
      <c r="E31" s="719" t="s">
        <v>92</v>
      </c>
      <c r="F31" s="709" t="s">
        <v>93</v>
      </c>
      <c r="G31" s="710"/>
      <c r="H31" s="654" t="s">
        <v>94</v>
      </c>
      <c r="I31" s="643"/>
      <c r="J31" s="643"/>
      <c r="K31" s="643"/>
      <c r="L31" s="378">
        <f>SUM(L32:L35)</f>
        <v>1597000</v>
      </c>
      <c r="M31" s="41">
        <f>'สรุปใช้งบ 31กค'!L28</f>
        <v>369502.95</v>
      </c>
      <c r="N31" s="418">
        <f t="shared" si="2"/>
        <v>-0.76862683155917344</v>
      </c>
      <c r="O31" s="52">
        <f>SUM(O32:O35)</f>
        <v>1550000</v>
      </c>
      <c r="P31" s="479">
        <f t="shared" si="0"/>
        <v>-47000</v>
      </c>
      <c r="Q31" s="418">
        <f t="shared" si="3"/>
        <v>-2.9430181590482163E-2</v>
      </c>
      <c r="R31" s="482" t="str">
        <f t="shared" si="1"/>
        <v>ลดลง</v>
      </c>
      <c r="S31" s="483" t="s">
        <v>95</v>
      </c>
      <c r="T31" s="6" t="s">
        <v>24</v>
      </c>
      <c r="U31" s="7">
        <v>0</v>
      </c>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row>
    <row r="32" spans="2:241" s="4" customFormat="1" ht="18.7" hidden="1" customHeight="1" x14ac:dyDescent="0.3">
      <c r="B32" s="600"/>
      <c r="C32" s="603"/>
      <c r="D32" s="678"/>
      <c r="E32" s="720"/>
      <c r="F32" s="729"/>
      <c r="G32" s="730"/>
      <c r="H32" s="655" t="s">
        <v>96</v>
      </c>
      <c r="I32" s="649"/>
      <c r="J32" s="649"/>
      <c r="K32" s="649"/>
      <c r="L32" s="379">
        <f>Dataผลพิปี69!U63</f>
        <v>460000</v>
      </c>
      <c r="M32" s="42" t="s">
        <v>97</v>
      </c>
      <c r="N32" s="423">
        <f t="shared" si="2"/>
        <v>1</v>
      </c>
      <c r="O32" s="53">
        <f>'[18]รวม คชจ.ปี 70'!$C$23</f>
        <v>480000</v>
      </c>
      <c r="P32" s="421">
        <f t="shared" si="0"/>
        <v>20000</v>
      </c>
      <c r="Q32" s="423">
        <f t="shared" si="3"/>
        <v>4.3478260869565188E-2</v>
      </c>
      <c r="R32" s="424" t="str">
        <f t="shared" si="1"/>
        <v>เพิ่มขึ้น</v>
      </c>
      <c r="S32" s="485" t="s">
        <v>98</v>
      </c>
      <c r="T32" s="8" t="s">
        <v>24</v>
      </c>
      <c r="U32" s="9">
        <v>0</v>
      </c>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c r="DZ32" s="5"/>
      <c r="EA32" s="5"/>
      <c r="EB32" s="5"/>
      <c r="EC32" s="5"/>
      <c r="ED32" s="5"/>
      <c r="EE32" s="5"/>
      <c r="EF32" s="5"/>
      <c r="EG32" s="5"/>
      <c r="EH32" s="5"/>
      <c r="EI32" s="5"/>
      <c r="EJ32" s="5"/>
      <c r="EK32" s="5"/>
      <c r="EL32" s="5"/>
      <c r="EM32" s="5"/>
      <c r="EN32" s="5"/>
      <c r="EO32" s="5"/>
      <c r="EP32" s="5"/>
      <c r="EQ32" s="5"/>
      <c r="ER32" s="5"/>
      <c r="ES32" s="5"/>
      <c r="ET32" s="5"/>
      <c r="EU32" s="5"/>
      <c r="EV32" s="5"/>
      <c r="EW32" s="5"/>
      <c r="EX32" s="5"/>
      <c r="EY32" s="5"/>
      <c r="EZ32" s="5"/>
      <c r="FA32" s="5"/>
      <c r="FB32" s="5"/>
      <c r="FC32" s="5"/>
      <c r="FD32" s="5"/>
      <c r="FE32" s="5"/>
      <c r="FF32" s="5"/>
      <c r="FG32" s="5"/>
      <c r="FH32" s="5"/>
      <c r="FI32" s="5"/>
      <c r="FJ32" s="5"/>
      <c r="FK32" s="5"/>
      <c r="FL32" s="5"/>
      <c r="FM32" s="5"/>
      <c r="FN32" s="5"/>
      <c r="FO32" s="5"/>
      <c r="FP32" s="5"/>
      <c r="FQ32" s="5"/>
      <c r="FR32" s="5"/>
      <c r="FS32" s="5"/>
      <c r="FT32" s="5"/>
      <c r="FU32" s="5"/>
      <c r="FV32" s="5"/>
      <c r="FW32" s="5"/>
      <c r="FX32" s="5"/>
      <c r="FY32" s="5"/>
      <c r="FZ32" s="5"/>
      <c r="GA32" s="5"/>
      <c r="GB32" s="5"/>
      <c r="GC32" s="5"/>
      <c r="GD32" s="5"/>
      <c r="GE32" s="5"/>
      <c r="GF32" s="5"/>
      <c r="GG32" s="5"/>
      <c r="GH32" s="5"/>
      <c r="GI32" s="5"/>
      <c r="GJ32" s="5"/>
      <c r="GK32" s="5"/>
      <c r="GL32" s="5"/>
      <c r="GM32" s="5"/>
      <c r="GN32" s="5"/>
      <c r="GO32" s="5"/>
      <c r="GP32" s="5"/>
      <c r="GQ32" s="5"/>
      <c r="GR32" s="5"/>
      <c r="GS32" s="5"/>
      <c r="GT32" s="5"/>
      <c r="GU32" s="5"/>
      <c r="GV32" s="5"/>
      <c r="GW32" s="5"/>
      <c r="GX32" s="5"/>
      <c r="GY32" s="5"/>
      <c r="GZ32" s="5"/>
      <c r="HA32" s="5"/>
      <c r="HB32" s="5"/>
      <c r="HC32" s="5"/>
      <c r="HD32" s="5"/>
      <c r="HE32" s="5"/>
      <c r="HF32" s="5"/>
      <c r="HG32" s="5"/>
      <c r="HH32" s="5"/>
      <c r="HI32" s="5"/>
      <c r="HJ32" s="5"/>
      <c r="HK32" s="5"/>
      <c r="HL32" s="5"/>
      <c r="HM32" s="5"/>
      <c r="HN32" s="5"/>
      <c r="HO32" s="5"/>
      <c r="HP32" s="5"/>
      <c r="HQ32" s="5"/>
      <c r="HR32" s="5"/>
      <c r="HS32" s="5"/>
      <c r="HT32" s="5"/>
      <c r="HU32" s="5"/>
      <c r="HV32" s="5"/>
      <c r="HW32" s="5"/>
      <c r="HX32" s="5"/>
      <c r="HY32" s="5"/>
      <c r="HZ32" s="5"/>
      <c r="IA32" s="5"/>
      <c r="IB32" s="5"/>
      <c r="IC32" s="5"/>
      <c r="ID32" s="5"/>
      <c r="IE32" s="5"/>
      <c r="IF32" s="5"/>
      <c r="IG32" s="5"/>
    </row>
    <row r="33" spans="1:241" s="4" customFormat="1" ht="18.7" hidden="1" customHeight="1" x14ac:dyDescent="0.3">
      <c r="B33" s="600"/>
      <c r="C33" s="603"/>
      <c r="D33" s="678"/>
      <c r="E33" s="720"/>
      <c r="F33" s="729"/>
      <c r="G33" s="730"/>
      <c r="H33" s="655" t="s">
        <v>99</v>
      </c>
      <c r="I33" s="649"/>
      <c r="J33" s="649"/>
      <c r="K33" s="649"/>
      <c r="L33" s="379">
        <f>Dataผลพิปี69!U64</f>
        <v>587000</v>
      </c>
      <c r="M33" s="42" t="s">
        <v>97</v>
      </c>
      <c r="N33" s="466">
        <f t="shared" si="2"/>
        <v>1</v>
      </c>
      <c r="O33" s="53">
        <f>'[18]รวม คชจ.ปี 70'!$C$24</f>
        <v>500000</v>
      </c>
      <c r="P33" s="414">
        <f t="shared" si="0"/>
        <v>-87000</v>
      </c>
      <c r="Q33" s="466">
        <f t="shared" si="3"/>
        <v>-0.14821124361158433</v>
      </c>
      <c r="R33" s="49" t="str">
        <f t="shared" si="1"/>
        <v>ลดลง</v>
      </c>
      <c r="S33" s="34" t="s">
        <v>100</v>
      </c>
      <c r="T33" s="8" t="s">
        <v>24</v>
      </c>
      <c r="U33" s="9">
        <v>0</v>
      </c>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row>
    <row r="34" spans="1:241" s="4" customFormat="1" ht="18.7" hidden="1" customHeight="1" x14ac:dyDescent="0.3">
      <c r="B34" s="600"/>
      <c r="C34" s="603"/>
      <c r="D34" s="678"/>
      <c r="E34" s="720"/>
      <c r="F34" s="729"/>
      <c r="G34" s="730"/>
      <c r="H34" s="655" t="s">
        <v>101</v>
      </c>
      <c r="I34" s="649"/>
      <c r="J34" s="649"/>
      <c r="K34" s="649"/>
      <c r="L34" s="379">
        <f>Dataผลพิปี69!U65</f>
        <v>400000</v>
      </c>
      <c r="M34" s="42" t="s">
        <v>97</v>
      </c>
      <c r="N34" s="423">
        <f t="shared" si="2"/>
        <v>1</v>
      </c>
      <c r="O34" s="53">
        <f>'[18]รวม คชจ.ปี 70'!$C$25</f>
        <v>420000</v>
      </c>
      <c r="P34" s="421">
        <f t="shared" si="0"/>
        <v>20000</v>
      </c>
      <c r="Q34" s="423">
        <f t="shared" si="3"/>
        <v>5.0000000000000044E-2</v>
      </c>
      <c r="R34" s="424" t="str">
        <f t="shared" si="1"/>
        <v>เพิ่มขึ้น</v>
      </c>
      <c r="S34" s="480" t="s">
        <v>102</v>
      </c>
      <c r="T34" s="8" t="s">
        <v>24</v>
      </c>
      <c r="U34" s="9">
        <v>0</v>
      </c>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row>
    <row r="35" spans="1:241" s="4" customFormat="1" ht="18.7" hidden="1" customHeight="1" x14ac:dyDescent="0.3">
      <c r="B35" s="600"/>
      <c r="C35" s="603"/>
      <c r="D35" s="679"/>
      <c r="E35" s="721"/>
      <c r="F35" s="731"/>
      <c r="G35" s="732"/>
      <c r="H35" s="655" t="s">
        <v>103</v>
      </c>
      <c r="I35" s="649"/>
      <c r="J35" s="649"/>
      <c r="K35" s="649"/>
      <c r="L35" s="379">
        <f>Dataผลพิปี69!U66</f>
        <v>150000</v>
      </c>
      <c r="M35" s="42" t="s">
        <v>97</v>
      </c>
      <c r="N35" s="468">
        <f t="shared" si="2"/>
        <v>1</v>
      </c>
      <c r="O35" s="53">
        <f>'[18]รวม คชจ.ปี 70'!$C$26</f>
        <v>150000</v>
      </c>
      <c r="P35" s="388">
        <f t="shared" si="0"/>
        <v>0</v>
      </c>
      <c r="Q35" s="529">
        <f t="shared" si="3"/>
        <v>0</v>
      </c>
      <c r="R35" s="49" t="str">
        <f t="shared" si="1"/>
        <v>--</v>
      </c>
      <c r="S35" s="481" t="s">
        <v>104</v>
      </c>
      <c r="T35" s="8" t="s">
        <v>24</v>
      </c>
      <c r="U35" s="9">
        <v>0</v>
      </c>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row>
    <row r="36" spans="1:241" s="4" customFormat="1" ht="69.5" hidden="1" customHeight="1" x14ac:dyDescent="0.3">
      <c r="B36" s="387"/>
      <c r="C36" s="395" t="s">
        <v>25</v>
      </c>
      <c r="D36" s="377" t="str">
        <f>'สรุปใช้งบ 31กค'!B29</f>
        <v>5031107000</v>
      </c>
      <c r="E36" s="503" t="s">
        <v>105</v>
      </c>
      <c r="F36" s="709" t="s">
        <v>106</v>
      </c>
      <c r="G36" s="710"/>
      <c r="H36" s="654" t="s">
        <v>107</v>
      </c>
      <c r="I36" s="643"/>
      <c r="J36" s="643"/>
      <c r="K36" s="643"/>
      <c r="L36" s="378">
        <f>'สรุปใช้งบ 31กค'!H29</f>
        <v>27000</v>
      </c>
      <c r="M36" s="41">
        <f>'สรุปใช้งบ 31กค'!L29</f>
        <v>1177</v>
      </c>
      <c r="N36" s="422">
        <f t="shared" si="2"/>
        <v>-0.95640740740740737</v>
      </c>
      <c r="O36" s="52">
        <f>'[19]2570'!$D$28</f>
        <v>40000</v>
      </c>
      <c r="P36" s="425">
        <f t="shared" si="0"/>
        <v>13000</v>
      </c>
      <c r="Q36" s="422">
        <f t="shared" si="3"/>
        <v>0.4814814814814814</v>
      </c>
      <c r="R36" s="467" t="str">
        <f t="shared" si="1"/>
        <v>เพิ่มขึ้น</v>
      </c>
      <c r="S36" s="433" t="s">
        <v>663</v>
      </c>
      <c r="T36" s="6" t="s">
        <v>24</v>
      </c>
      <c r="U36" s="7">
        <v>0</v>
      </c>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row>
    <row r="37" spans="1:241" s="4" customFormat="1" ht="19.05" hidden="1" customHeight="1" x14ac:dyDescent="0.3">
      <c r="B37" s="431" t="s">
        <v>108</v>
      </c>
      <c r="C37" s="395" t="s">
        <v>109</v>
      </c>
      <c r="D37" s="377" t="str">
        <f>'สรุปใช้งบ 31กค'!B32</f>
        <v>5031118000</v>
      </c>
      <c r="E37" s="501" t="s">
        <v>110</v>
      </c>
      <c r="F37" s="726" t="s">
        <v>111</v>
      </c>
      <c r="G37" s="716"/>
      <c r="H37" s="713" t="s">
        <v>112</v>
      </c>
      <c r="I37" s="714"/>
      <c r="J37" s="714"/>
      <c r="K37" s="714"/>
      <c r="L37" s="378">
        <f>'สรุปใช้งบ 31กค'!H32</f>
        <v>6300</v>
      </c>
      <c r="M37" s="41">
        <f>'สรุปใช้งบ 31กค'!L32</f>
        <v>5550</v>
      </c>
      <c r="N37" s="422">
        <f t="shared" si="2"/>
        <v>-0.11904761904761907</v>
      </c>
      <c r="O37" s="52">
        <f>'[20]ค่าสิทธิการใช้โปรแกรม ปี 70'!$H$202</f>
        <v>8800</v>
      </c>
      <c r="P37" s="425">
        <f t="shared" si="0"/>
        <v>2500</v>
      </c>
      <c r="Q37" s="422">
        <f t="shared" si="3"/>
        <v>0.39682539682539675</v>
      </c>
      <c r="R37" s="467" t="str">
        <f t="shared" si="1"/>
        <v>เพิ่มขึ้น</v>
      </c>
      <c r="S37" s="505" t="s">
        <v>113</v>
      </c>
      <c r="T37" s="6">
        <v>4</v>
      </c>
      <c r="U37" s="7">
        <f>'[20]ค่าสิทธิการใช้โปรแกรม ปี 70'!$I$202</f>
        <v>8800</v>
      </c>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row>
    <row r="38" spans="1:241" s="4" customFormat="1" ht="19.05" hidden="1" customHeight="1" x14ac:dyDescent="0.3">
      <c r="B38" s="600"/>
      <c r="C38" s="395" t="s">
        <v>25</v>
      </c>
      <c r="D38" s="377" t="str">
        <f>'สรุปใช้งบ 31กค'!B33</f>
        <v>5031133000</v>
      </c>
      <c r="E38" s="503" t="s">
        <v>114</v>
      </c>
      <c r="F38" s="727" t="s">
        <v>115</v>
      </c>
      <c r="G38" s="728"/>
      <c r="H38" s="713" t="s">
        <v>116</v>
      </c>
      <c r="I38" s="714"/>
      <c r="J38" s="714"/>
      <c r="K38" s="714"/>
      <c r="L38" s="378">
        <f>'สรุปใช้งบ 31กค'!H33</f>
        <v>23000</v>
      </c>
      <c r="M38" s="41">
        <f>L38</f>
        <v>23000</v>
      </c>
      <c r="N38" s="422">
        <f t="shared" si="2"/>
        <v>0</v>
      </c>
      <c r="O38" s="52">
        <f>'[21]ค่าสิทธิการใช้โปรแกรม ปี 70'!$H$202</f>
        <v>48000</v>
      </c>
      <c r="P38" s="478">
        <f t="shared" si="0"/>
        <v>25000</v>
      </c>
      <c r="Q38" s="422">
        <f t="shared" si="3"/>
        <v>1.0869565217391304</v>
      </c>
      <c r="R38" s="467" t="str">
        <f t="shared" si="1"/>
        <v>เพิ่มขึ้น</v>
      </c>
      <c r="S38" s="433" t="s">
        <v>117</v>
      </c>
      <c r="T38" s="6">
        <v>1</v>
      </c>
      <c r="U38" s="7">
        <f>'[21]ค่าสิทธิการใช้โปรแกรม ปี 70'!$I$202</f>
        <v>0</v>
      </c>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row>
    <row r="39" spans="1:241" s="4" customFormat="1" ht="19.05" hidden="1" customHeight="1" x14ac:dyDescent="0.3">
      <c r="B39" s="600"/>
      <c r="C39" s="395" t="s">
        <v>25</v>
      </c>
      <c r="D39" s="377">
        <f>'สรุปใช้งบ 31กค'!B30</f>
        <v>5031131000</v>
      </c>
      <c r="E39" s="501" t="s">
        <v>118</v>
      </c>
      <c r="F39" s="626" t="s">
        <v>119</v>
      </c>
      <c r="G39" s="627"/>
      <c r="H39" s="654" t="s">
        <v>120</v>
      </c>
      <c r="I39" s="643"/>
      <c r="J39" s="643"/>
      <c r="K39" s="643"/>
      <c r="L39" s="401">
        <f>'สรุปใช้งบ 31กค'!H30</f>
        <v>220000</v>
      </c>
      <c r="M39" s="41">
        <f>'สรุปใช้งบ 31กค'!L30</f>
        <v>60000</v>
      </c>
      <c r="N39" s="417">
        <f t="shared" si="2"/>
        <v>-0.72727272727272729</v>
      </c>
      <c r="O39" s="52">
        <f>'[22]2570'!$E$7</f>
        <v>220000</v>
      </c>
      <c r="P39" s="411">
        <f t="shared" si="0"/>
        <v>0</v>
      </c>
      <c r="Q39" s="527">
        <f t="shared" si="3"/>
        <v>0</v>
      </c>
      <c r="R39" s="426" t="str">
        <f t="shared" si="1"/>
        <v>--</v>
      </c>
      <c r="S39" s="438" t="s">
        <v>121</v>
      </c>
      <c r="T39" s="6" t="s">
        <v>24</v>
      </c>
      <c r="U39" s="7">
        <v>0</v>
      </c>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row>
    <row r="40" spans="1:241" s="4" customFormat="1" ht="19.5" customHeight="1" x14ac:dyDescent="0.3">
      <c r="A40" s="532"/>
      <c r="B40" s="387"/>
      <c r="C40" s="486" t="s">
        <v>122</v>
      </c>
      <c r="D40" s="685" t="s">
        <v>123</v>
      </c>
      <c r="E40" s="686"/>
      <c r="F40" s="687"/>
      <c r="G40" s="686"/>
      <c r="H40" s="448" t="s">
        <v>124</v>
      </c>
      <c r="I40" s="449" t="s">
        <v>125</v>
      </c>
      <c r="J40" s="493" t="s">
        <v>126</v>
      </c>
      <c r="K40" s="494" t="s">
        <v>127</v>
      </c>
      <c r="L40" s="403">
        <f>SUM(L41:L80)</f>
        <v>29633600</v>
      </c>
      <c r="M40" s="403">
        <f>SUM(M41:M80)</f>
        <v>25333985</v>
      </c>
      <c r="N40" s="484">
        <f t="shared" si="2"/>
        <v>-0.14509256384644453</v>
      </c>
      <c r="O40" s="55">
        <f>SUM(O41:O80)</f>
        <v>37441500</v>
      </c>
      <c r="P40" s="412">
        <f t="shared" si="0"/>
        <v>7807900</v>
      </c>
      <c r="Q40" s="484">
        <f t="shared" si="3"/>
        <v>0.26348131850332046</v>
      </c>
      <c r="R40" s="49" t="str">
        <f t="shared" si="1"/>
        <v>เพิ่มขึ้น</v>
      </c>
      <c r="S40" s="36"/>
      <c r="T40" s="12"/>
      <c r="U40" s="403">
        <f>SUM(U41:U80)</f>
        <v>0</v>
      </c>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row>
    <row r="41" spans="1:241" s="16" customFormat="1" ht="44.55" customHeight="1" x14ac:dyDescent="0.3">
      <c r="B41" s="491" t="s">
        <v>128</v>
      </c>
      <c r="C41" s="395" t="s">
        <v>129</v>
      </c>
      <c r="D41" s="376" t="s">
        <v>130</v>
      </c>
      <c r="E41" s="376" t="s">
        <v>131</v>
      </c>
      <c r="F41" s="722" t="s">
        <v>132</v>
      </c>
      <c r="G41" s="723"/>
      <c r="H41" s="450" t="s">
        <v>20</v>
      </c>
      <c r="I41" s="451">
        <v>0</v>
      </c>
      <c r="J41" s="495">
        <v>1</v>
      </c>
      <c r="K41" s="506">
        <f>ROUNDUP(1630894,-4)</f>
        <v>1640000</v>
      </c>
      <c r="L41" s="402"/>
      <c r="M41" s="41"/>
      <c r="N41" s="422">
        <f t="shared" si="2"/>
        <v>1</v>
      </c>
      <c r="O41" s="56">
        <f t="shared" ref="O41:O68" si="4">K41*J41</f>
        <v>1640000</v>
      </c>
      <c r="P41" s="425">
        <f t="shared" si="0"/>
        <v>1640000</v>
      </c>
      <c r="Q41" s="422">
        <f t="shared" si="3"/>
        <v>1</v>
      </c>
      <c r="R41" s="424" t="str">
        <f t="shared" si="1"/>
        <v>เพิ่มขึ้น</v>
      </c>
      <c r="S41" s="505" t="s">
        <v>633</v>
      </c>
      <c r="T41" s="22"/>
      <c r="U41" s="23"/>
      <c r="V41" s="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c r="DE41" s="15"/>
      <c r="DF41" s="15"/>
      <c r="DG41" s="15"/>
      <c r="DH41" s="15"/>
      <c r="DI41" s="15"/>
      <c r="DJ41" s="15"/>
      <c r="DK41" s="15"/>
      <c r="DL41" s="15"/>
      <c r="DM41" s="15"/>
      <c r="DN41" s="15"/>
      <c r="DO41" s="15"/>
      <c r="DP41" s="15"/>
      <c r="DQ41" s="15"/>
      <c r="DR41" s="15"/>
      <c r="DS41" s="15"/>
      <c r="DT41" s="15"/>
      <c r="DU41" s="15"/>
      <c r="DV41" s="15"/>
      <c r="DW41" s="15"/>
      <c r="DX41" s="15"/>
      <c r="DY41" s="15"/>
      <c r="DZ41" s="15"/>
      <c r="EA41" s="15"/>
      <c r="EB41" s="15"/>
      <c r="EC41" s="15"/>
      <c r="ED41" s="15"/>
      <c r="EE41" s="15"/>
      <c r="EF41" s="15"/>
      <c r="EG41" s="15"/>
      <c r="EH41" s="15"/>
      <c r="EI41" s="15"/>
      <c r="EJ41" s="15"/>
      <c r="EK41" s="15"/>
      <c r="EL41" s="15"/>
      <c r="EM41" s="15"/>
      <c r="EN41" s="15"/>
      <c r="EO41" s="15"/>
      <c r="EP41" s="15"/>
      <c r="EQ41" s="15"/>
      <c r="ER41" s="15"/>
      <c r="ES41" s="15"/>
      <c r="ET41" s="15"/>
      <c r="EU41" s="15"/>
      <c r="EV41" s="15"/>
      <c r="EW41" s="15"/>
      <c r="EX41" s="15"/>
      <c r="EY41" s="15"/>
      <c r="EZ41" s="15"/>
      <c r="FA41" s="15"/>
      <c r="FB41" s="15"/>
      <c r="FC41" s="15"/>
      <c r="FD41" s="15"/>
      <c r="FE41" s="15"/>
      <c r="FF41" s="15"/>
      <c r="FG41" s="15"/>
      <c r="FH41" s="15"/>
      <c r="FI41" s="15"/>
      <c r="FJ41" s="15"/>
      <c r="FK41" s="15"/>
      <c r="FL41" s="15"/>
      <c r="FM41" s="15"/>
      <c r="FN41" s="15"/>
      <c r="FO41" s="15"/>
      <c r="FP41" s="15"/>
      <c r="FQ41" s="15"/>
      <c r="FR41" s="15"/>
      <c r="FS41" s="15"/>
      <c r="FT41" s="15"/>
      <c r="FU41" s="15"/>
      <c r="FV41" s="15"/>
      <c r="FW41" s="15"/>
      <c r="FX41" s="15"/>
      <c r="FY41" s="15"/>
      <c r="FZ41" s="15"/>
      <c r="GA41" s="15"/>
      <c r="GB41" s="15"/>
      <c r="GC41" s="15"/>
      <c r="GD41" s="15"/>
      <c r="GE41" s="15"/>
      <c r="GF41" s="15"/>
      <c r="GG41" s="15"/>
      <c r="GH41" s="15"/>
      <c r="GI41" s="15"/>
      <c r="GJ41" s="15"/>
      <c r="GK41" s="15"/>
      <c r="GL41" s="15"/>
      <c r="GM41" s="15"/>
      <c r="GN41" s="15"/>
      <c r="GO41" s="15"/>
      <c r="GP41" s="15"/>
      <c r="GQ41" s="15"/>
      <c r="GR41" s="15"/>
      <c r="GS41" s="15"/>
      <c r="GT41" s="15"/>
      <c r="GU41" s="15"/>
      <c r="GV41" s="15"/>
      <c r="GW41" s="15"/>
      <c r="GX41" s="15"/>
      <c r="GY41" s="15"/>
      <c r="GZ41" s="15"/>
      <c r="HA41" s="15"/>
      <c r="HB41" s="15"/>
      <c r="HC41" s="15"/>
      <c r="HD41" s="15"/>
      <c r="HE41" s="15"/>
      <c r="HF41" s="15"/>
      <c r="HG41" s="15"/>
      <c r="HH41" s="15"/>
      <c r="HI41" s="15"/>
      <c r="HJ41" s="15"/>
      <c r="HK41" s="15"/>
      <c r="HL41" s="15"/>
      <c r="HM41" s="15"/>
      <c r="HN41" s="15"/>
      <c r="HO41" s="15"/>
      <c r="HP41" s="15"/>
      <c r="HQ41" s="15"/>
      <c r="HR41" s="15"/>
      <c r="HS41" s="15"/>
      <c r="HT41" s="15"/>
      <c r="HU41" s="15"/>
      <c r="HV41" s="15"/>
      <c r="HW41" s="15"/>
      <c r="HX41" s="15"/>
      <c r="HY41" s="15"/>
      <c r="HZ41" s="15"/>
      <c r="IA41" s="15"/>
      <c r="IB41" s="15"/>
      <c r="IC41" s="15"/>
      <c r="ID41" s="15"/>
      <c r="IE41" s="15"/>
      <c r="IF41" s="15"/>
      <c r="IG41" s="15"/>
    </row>
    <row r="42" spans="1:241" s="16" customFormat="1" ht="25.05" customHeight="1" x14ac:dyDescent="0.3">
      <c r="B42" s="393" t="s">
        <v>133</v>
      </c>
      <c r="C42" s="395" t="s">
        <v>129</v>
      </c>
      <c r="D42" s="376" t="s">
        <v>130</v>
      </c>
      <c r="E42" s="376" t="s">
        <v>134</v>
      </c>
      <c r="F42" s="662" t="s">
        <v>135</v>
      </c>
      <c r="G42" s="664"/>
      <c r="H42" s="450" t="s">
        <v>20</v>
      </c>
      <c r="I42" s="451">
        <v>0</v>
      </c>
      <c r="J42" s="495">
        <v>1</v>
      </c>
      <c r="K42" s="506">
        <f>ROUNDUP(150000,-4)</f>
        <v>150000</v>
      </c>
      <c r="L42" s="381">
        <v>0</v>
      </c>
      <c r="M42" s="307">
        <v>0</v>
      </c>
      <c r="N42" s="422">
        <f t="shared" si="2"/>
        <v>1</v>
      </c>
      <c r="O42" s="56">
        <f t="shared" si="4"/>
        <v>150000</v>
      </c>
      <c r="P42" s="425">
        <f t="shared" si="0"/>
        <v>150000</v>
      </c>
      <c r="Q42" s="422">
        <f t="shared" si="3"/>
        <v>1</v>
      </c>
      <c r="R42" s="424" t="str">
        <f t="shared" si="1"/>
        <v>เพิ่มขึ้น</v>
      </c>
      <c r="S42" s="433" t="s">
        <v>136</v>
      </c>
      <c r="T42" s="22"/>
      <c r="U42" s="23"/>
      <c r="V42" s="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c r="DE42" s="15"/>
      <c r="DF42" s="15"/>
      <c r="DG42" s="15"/>
      <c r="DH42" s="15"/>
      <c r="DI42" s="15"/>
      <c r="DJ42" s="15"/>
      <c r="DK42" s="15"/>
      <c r="DL42" s="15"/>
      <c r="DM42" s="15"/>
      <c r="DN42" s="15"/>
      <c r="DO42" s="15"/>
      <c r="DP42" s="15"/>
      <c r="DQ42" s="15"/>
      <c r="DR42" s="15"/>
      <c r="DS42" s="15"/>
      <c r="DT42" s="15"/>
      <c r="DU42" s="15"/>
      <c r="DV42" s="15"/>
      <c r="DW42" s="15"/>
      <c r="DX42" s="15"/>
      <c r="DY42" s="15"/>
      <c r="DZ42" s="15"/>
      <c r="EA42" s="15"/>
      <c r="EB42" s="15"/>
      <c r="EC42" s="15"/>
      <c r="ED42" s="15"/>
      <c r="EE42" s="15"/>
      <c r="EF42" s="15"/>
      <c r="EG42" s="15"/>
      <c r="EH42" s="15"/>
      <c r="EI42" s="15"/>
      <c r="EJ42" s="15"/>
      <c r="EK42" s="15"/>
      <c r="EL42" s="15"/>
      <c r="EM42" s="15"/>
      <c r="EN42" s="15"/>
      <c r="EO42" s="15"/>
      <c r="EP42" s="15"/>
      <c r="EQ42" s="15"/>
      <c r="ER42" s="15"/>
      <c r="ES42" s="15"/>
      <c r="ET42" s="15"/>
      <c r="EU42" s="15"/>
      <c r="EV42" s="15"/>
      <c r="EW42" s="15"/>
      <c r="EX42" s="15"/>
      <c r="EY42" s="15"/>
      <c r="EZ42" s="15"/>
      <c r="FA42" s="15"/>
      <c r="FB42" s="15"/>
      <c r="FC42" s="15"/>
      <c r="FD42" s="15"/>
      <c r="FE42" s="15"/>
      <c r="FF42" s="15"/>
      <c r="FG42" s="15"/>
      <c r="FH42" s="15"/>
      <c r="FI42" s="15"/>
      <c r="FJ42" s="15"/>
      <c r="FK42" s="15"/>
      <c r="FL42" s="15"/>
      <c r="FM42" s="15"/>
      <c r="FN42" s="15"/>
      <c r="FO42" s="15"/>
      <c r="FP42" s="15"/>
      <c r="FQ42" s="15"/>
      <c r="FR42" s="15"/>
      <c r="FS42" s="15"/>
      <c r="FT42" s="15"/>
      <c r="FU42" s="15"/>
      <c r="FV42" s="15"/>
      <c r="FW42" s="15"/>
      <c r="FX42" s="15"/>
      <c r="FY42" s="15"/>
      <c r="FZ42" s="15"/>
      <c r="GA42" s="15"/>
      <c r="GB42" s="15"/>
      <c r="GC42" s="15"/>
      <c r="GD42" s="15"/>
      <c r="GE42" s="15"/>
      <c r="GF42" s="15"/>
      <c r="GG42" s="15"/>
      <c r="GH42" s="15"/>
      <c r="GI42" s="15"/>
      <c r="GJ42" s="15"/>
      <c r="GK42" s="15"/>
      <c r="GL42" s="15"/>
      <c r="GM42" s="15"/>
      <c r="GN42" s="15"/>
      <c r="GO42" s="15"/>
      <c r="GP42" s="15"/>
      <c r="GQ42" s="15"/>
      <c r="GR42" s="15"/>
      <c r="GS42" s="15"/>
      <c r="GT42" s="15"/>
      <c r="GU42" s="15"/>
      <c r="GV42" s="15"/>
      <c r="GW42" s="15"/>
      <c r="GX42" s="15"/>
      <c r="GY42" s="15"/>
      <c r="GZ42" s="15"/>
      <c r="HA42" s="15"/>
      <c r="HB42" s="15"/>
      <c r="HC42" s="15"/>
      <c r="HD42" s="15"/>
      <c r="HE42" s="15"/>
      <c r="HF42" s="15"/>
      <c r="HG42" s="15"/>
      <c r="HH42" s="15"/>
      <c r="HI42" s="15"/>
      <c r="HJ42" s="15"/>
      <c r="HK42" s="15"/>
      <c r="HL42" s="15"/>
      <c r="HM42" s="15"/>
      <c r="HN42" s="15"/>
      <c r="HO42" s="15"/>
      <c r="HP42" s="15"/>
      <c r="HQ42" s="15"/>
      <c r="HR42" s="15"/>
      <c r="HS42" s="15"/>
      <c r="HT42" s="15"/>
      <c r="HU42" s="15"/>
      <c r="HV42" s="15"/>
      <c r="HW42" s="15"/>
      <c r="HX42" s="15"/>
      <c r="HY42" s="15"/>
      <c r="HZ42" s="15"/>
      <c r="IA42" s="15"/>
      <c r="IB42" s="15"/>
      <c r="IC42" s="15"/>
      <c r="ID42" s="15"/>
      <c r="IE42" s="15"/>
      <c r="IF42" s="15"/>
      <c r="IG42" s="15"/>
    </row>
    <row r="43" spans="1:241" s="16" customFormat="1" ht="20.55" customHeight="1" x14ac:dyDescent="0.3">
      <c r="B43" s="604" t="s">
        <v>137</v>
      </c>
      <c r="C43" s="395" t="s">
        <v>138</v>
      </c>
      <c r="D43" s="593" t="s">
        <v>130</v>
      </c>
      <c r="E43" s="520" t="s">
        <v>139</v>
      </c>
      <c r="F43" s="598" t="s">
        <v>140</v>
      </c>
      <c r="G43" s="599"/>
      <c r="H43" s="450" t="s">
        <v>20</v>
      </c>
      <c r="I43" s="451">
        <v>0</v>
      </c>
      <c r="J43" s="495">
        <v>2</v>
      </c>
      <c r="K43" s="506">
        <f>ROUNDUP((2339000+368508)*110%,-4)</f>
        <v>2980000</v>
      </c>
      <c r="L43" s="381">
        <v>0</v>
      </c>
      <c r="M43" s="307">
        <v>0</v>
      </c>
      <c r="N43" s="422">
        <f t="shared" si="2"/>
        <v>1</v>
      </c>
      <c r="O43" s="56">
        <f>K43*J43</f>
        <v>5960000</v>
      </c>
      <c r="P43" s="425">
        <f t="shared" si="0"/>
        <v>5960000</v>
      </c>
      <c r="Q43" s="422">
        <f t="shared" si="3"/>
        <v>1</v>
      </c>
      <c r="R43" s="424" t="str">
        <f t="shared" si="1"/>
        <v>เพิ่มขึ้น</v>
      </c>
      <c r="S43" s="505" t="s">
        <v>646</v>
      </c>
      <c r="T43" s="22"/>
      <c r="U43" s="23"/>
      <c r="V43" s="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c r="DE43" s="15"/>
      <c r="DF43" s="15"/>
      <c r="DG43" s="15"/>
      <c r="DH43" s="15"/>
      <c r="DI43" s="15"/>
      <c r="DJ43" s="15"/>
      <c r="DK43" s="15"/>
      <c r="DL43" s="15"/>
      <c r="DM43" s="15"/>
      <c r="DN43" s="15"/>
      <c r="DO43" s="15"/>
      <c r="DP43" s="15"/>
      <c r="DQ43" s="15"/>
      <c r="DR43" s="15"/>
      <c r="DS43" s="15"/>
      <c r="DT43" s="15"/>
      <c r="DU43" s="15"/>
      <c r="DV43" s="15"/>
      <c r="DW43" s="15"/>
      <c r="DX43" s="15"/>
      <c r="DY43" s="15"/>
      <c r="DZ43" s="15"/>
      <c r="EA43" s="15"/>
      <c r="EB43" s="15"/>
      <c r="EC43" s="15"/>
      <c r="ED43" s="15"/>
      <c r="EE43" s="15"/>
      <c r="EF43" s="15"/>
      <c r="EG43" s="15"/>
      <c r="EH43" s="15"/>
      <c r="EI43" s="15"/>
      <c r="EJ43" s="15"/>
      <c r="EK43" s="15"/>
      <c r="EL43" s="15"/>
      <c r="EM43" s="15"/>
      <c r="EN43" s="15"/>
      <c r="EO43" s="15"/>
      <c r="EP43" s="15"/>
      <c r="EQ43" s="15"/>
      <c r="ER43" s="15"/>
      <c r="ES43" s="15"/>
      <c r="ET43" s="15"/>
      <c r="EU43" s="15"/>
      <c r="EV43" s="15"/>
      <c r="EW43" s="15"/>
      <c r="EX43" s="15"/>
      <c r="EY43" s="15"/>
      <c r="EZ43" s="15"/>
      <c r="FA43" s="15"/>
      <c r="FB43" s="15"/>
      <c r="FC43" s="15"/>
      <c r="FD43" s="15"/>
      <c r="FE43" s="15"/>
      <c r="FF43" s="15"/>
      <c r="FG43" s="15"/>
      <c r="FH43" s="15"/>
      <c r="FI43" s="15"/>
      <c r="FJ43" s="15"/>
      <c r="FK43" s="15"/>
      <c r="FL43" s="15"/>
      <c r="FM43" s="15"/>
      <c r="FN43" s="15"/>
      <c r="FO43" s="15"/>
      <c r="FP43" s="15"/>
      <c r="FQ43" s="15"/>
      <c r="FR43" s="15"/>
      <c r="FS43" s="15"/>
      <c r="FT43" s="15"/>
      <c r="FU43" s="15"/>
      <c r="FV43" s="15"/>
      <c r="FW43" s="15"/>
      <c r="FX43" s="15"/>
      <c r="FY43" s="15"/>
      <c r="FZ43" s="15"/>
      <c r="GA43" s="15"/>
      <c r="GB43" s="15"/>
      <c r="GC43" s="15"/>
      <c r="GD43" s="15"/>
      <c r="GE43" s="15"/>
      <c r="GF43" s="15"/>
      <c r="GG43" s="15"/>
      <c r="GH43" s="15"/>
      <c r="GI43" s="15"/>
      <c r="GJ43" s="15"/>
      <c r="GK43" s="15"/>
      <c r="GL43" s="15"/>
      <c r="GM43" s="15"/>
      <c r="GN43" s="15"/>
      <c r="GO43" s="15"/>
      <c r="GP43" s="15"/>
      <c r="GQ43" s="15"/>
      <c r="GR43" s="15"/>
      <c r="GS43" s="15"/>
      <c r="GT43" s="15"/>
      <c r="GU43" s="15"/>
      <c r="GV43" s="15"/>
      <c r="GW43" s="15"/>
      <c r="GX43" s="15"/>
      <c r="GY43" s="15"/>
      <c r="GZ43" s="15"/>
      <c r="HA43" s="15"/>
      <c r="HB43" s="15"/>
      <c r="HC43" s="15"/>
      <c r="HD43" s="15"/>
      <c r="HE43" s="15"/>
      <c r="HF43" s="15"/>
      <c r="HG43" s="15"/>
      <c r="HH43" s="15"/>
      <c r="HI43" s="15"/>
      <c r="HJ43" s="15"/>
      <c r="HK43" s="15"/>
      <c r="HL43" s="15"/>
      <c r="HM43" s="15"/>
      <c r="HN43" s="15"/>
      <c r="HO43" s="15"/>
      <c r="HP43" s="15"/>
      <c r="HQ43" s="15"/>
      <c r="HR43" s="15"/>
      <c r="HS43" s="15"/>
      <c r="HT43" s="15"/>
      <c r="HU43" s="15"/>
      <c r="HV43" s="15"/>
      <c r="HW43" s="15"/>
      <c r="HX43" s="15"/>
      <c r="HY43" s="15"/>
      <c r="HZ43" s="15"/>
      <c r="IA43" s="15"/>
      <c r="IB43" s="15"/>
      <c r="IC43" s="15"/>
      <c r="ID43" s="15"/>
      <c r="IE43" s="15"/>
      <c r="IF43" s="15"/>
      <c r="IG43" s="15"/>
    </row>
    <row r="44" spans="1:241" s="16" customFormat="1" ht="20.55" customHeight="1" x14ac:dyDescent="0.3">
      <c r="B44" s="604"/>
      <c r="C44" s="395" t="s">
        <v>138</v>
      </c>
      <c r="D44" s="595"/>
      <c r="E44" s="520" t="s">
        <v>141</v>
      </c>
      <c r="F44" s="598" t="s">
        <v>142</v>
      </c>
      <c r="G44" s="599"/>
      <c r="H44" s="450" t="s">
        <v>20</v>
      </c>
      <c r="I44" s="451">
        <v>0</v>
      </c>
      <c r="J44" s="495">
        <v>1</v>
      </c>
      <c r="K44" s="506">
        <f>ROUNDUP((1904000+368508)*110%,-4)</f>
        <v>2500000</v>
      </c>
      <c r="L44" s="381">
        <v>0</v>
      </c>
      <c r="M44" s="307">
        <v>0</v>
      </c>
      <c r="N44" s="422">
        <f t="shared" si="2"/>
        <v>1</v>
      </c>
      <c r="O44" s="56">
        <f t="shared" si="4"/>
        <v>2500000</v>
      </c>
      <c r="P44" s="425">
        <f t="shared" si="0"/>
        <v>2500000</v>
      </c>
      <c r="Q44" s="422">
        <f t="shared" si="3"/>
        <v>1</v>
      </c>
      <c r="R44" s="424" t="str">
        <f t="shared" si="1"/>
        <v>เพิ่มขึ้น</v>
      </c>
      <c r="S44" s="505" t="s">
        <v>647</v>
      </c>
      <c r="T44" s="22"/>
      <c r="U44" s="23"/>
      <c r="V44" s="5"/>
      <c r="W44" s="15"/>
      <c r="X44" s="15"/>
      <c r="Y44" s="15"/>
      <c r="Z44" s="15"/>
      <c r="AA44" s="15"/>
      <c r="AB44" s="15"/>
      <c r="AC44" s="15"/>
      <c r="AD44" s="15"/>
      <c r="AE44" s="15"/>
      <c r="AF44" s="15"/>
      <c r="AG44" s="15"/>
      <c r="AH44" s="15"/>
      <c r="AI44" s="15"/>
      <c r="AJ44" s="15"/>
      <c r="AK44" s="15"/>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5"/>
      <c r="BU44" s="15"/>
      <c r="BV44" s="15"/>
      <c r="BW44" s="15"/>
      <c r="BX44" s="15"/>
      <c r="BY44" s="15"/>
      <c r="BZ44" s="15"/>
      <c r="CA44" s="15"/>
      <c r="CB44" s="15"/>
      <c r="CC44" s="15"/>
      <c r="CD44" s="15"/>
      <c r="CE44" s="15"/>
      <c r="CF44" s="15"/>
      <c r="CG44" s="15"/>
      <c r="CH44" s="15"/>
      <c r="CI44" s="15"/>
      <c r="CJ44" s="15"/>
      <c r="CK44" s="15"/>
      <c r="CL44" s="15"/>
      <c r="CM44" s="15"/>
      <c r="CN44" s="15"/>
      <c r="CO44" s="15"/>
      <c r="CP44" s="15"/>
      <c r="CQ44" s="15"/>
      <c r="CR44" s="15"/>
      <c r="CS44" s="15"/>
      <c r="CT44" s="15"/>
      <c r="CU44" s="15"/>
      <c r="CV44" s="15"/>
      <c r="CW44" s="15"/>
      <c r="CX44" s="15"/>
      <c r="CY44" s="15"/>
      <c r="CZ44" s="15"/>
      <c r="DA44" s="15"/>
      <c r="DB44" s="15"/>
      <c r="DC44" s="15"/>
      <c r="DD44" s="15"/>
      <c r="DE44" s="15"/>
      <c r="DF44" s="15"/>
      <c r="DG44" s="15"/>
      <c r="DH44" s="15"/>
      <c r="DI44" s="15"/>
      <c r="DJ44" s="15"/>
      <c r="DK44" s="15"/>
      <c r="DL44" s="15"/>
      <c r="DM44" s="15"/>
      <c r="DN44" s="15"/>
      <c r="DO44" s="15"/>
      <c r="DP44" s="15"/>
      <c r="DQ44" s="15"/>
      <c r="DR44" s="15"/>
      <c r="DS44" s="15"/>
      <c r="DT44" s="15"/>
      <c r="DU44" s="15"/>
      <c r="DV44" s="15"/>
      <c r="DW44" s="15"/>
      <c r="DX44" s="15"/>
      <c r="DY44" s="15"/>
      <c r="DZ44" s="15"/>
      <c r="EA44" s="15"/>
      <c r="EB44" s="15"/>
      <c r="EC44" s="15"/>
      <c r="ED44" s="15"/>
      <c r="EE44" s="15"/>
      <c r="EF44" s="15"/>
      <c r="EG44" s="15"/>
      <c r="EH44" s="15"/>
      <c r="EI44" s="15"/>
      <c r="EJ44" s="15"/>
      <c r="EK44" s="15"/>
      <c r="EL44" s="15"/>
      <c r="EM44" s="15"/>
      <c r="EN44" s="15"/>
      <c r="EO44" s="15"/>
      <c r="EP44" s="15"/>
      <c r="EQ44" s="15"/>
      <c r="ER44" s="15"/>
      <c r="ES44" s="15"/>
      <c r="ET44" s="15"/>
      <c r="EU44" s="15"/>
      <c r="EV44" s="15"/>
      <c r="EW44" s="15"/>
      <c r="EX44" s="15"/>
      <c r="EY44" s="15"/>
      <c r="EZ44" s="15"/>
      <c r="FA44" s="15"/>
      <c r="FB44" s="15"/>
      <c r="FC44" s="15"/>
      <c r="FD44" s="15"/>
      <c r="FE44" s="15"/>
      <c r="FF44" s="15"/>
      <c r="FG44" s="15"/>
      <c r="FH44" s="15"/>
      <c r="FI44" s="15"/>
      <c r="FJ44" s="15"/>
      <c r="FK44" s="15"/>
      <c r="FL44" s="15"/>
      <c r="FM44" s="15"/>
      <c r="FN44" s="15"/>
      <c r="FO44" s="15"/>
      <c r="FP44" s="15"/>
      <c r="FQ44" s="15"/>
      <c r="FR44" s="15"/>
      <c r="FS44" s="15"/>
      <c r="FT44" s="15"/>
      <c r="FU44" s="15"/>
      <c r="FV44" s="15"/>
      <c r="FW44" s="15"/>
      <c r="FX44" s="15"/>
      <c r="FY44" s="15"/>
      <c r="FZ44" s="15"/>
      <c r="GA44" s="15"/>
      <c r="GB44" s="15"/>
      <c r="GC44" s="15"/>
      <c r="GD44" s="15"/>
      <c r="GE44" s="15"/>
      <c r="GF44" s="15"/>
      <c r="GG44" s="15"/>
      <c r="GH44" s="15"/>
      <c r="GI44" s="15"/>
      <c r="GJ44" s="15"/>
      <c r="GK44" s="15"/>
      <c r="GL44" s="15"/>
      <c r="GM44" s="15"/>
      <c r="GN44" s="15"/>
      <c r="GO44" s="15"/>
      <c r="GP44" s="15"/>
      <c r="GQ44" s="15"/>
      <c r="GR44" s="15"/>
      <c r="GS44" s="15"/>
      <c r="GT44" s="15"/>
      <c r="GU44" s="15"/>
      <c r="GV44" s="15"/>
      <c r="GW44" s="15"/>
      <c r="GX44" s="15"/>
      <c r="GY44" s="15"/>
      <c r="GZ44" s="15"/>
      <c r="HA44" s="15"/>
      <c r="HB44" s="15"/>
      <c r="HC44" s="15"/>
      <c r="HD44" s="15"/>
      <c r="HE44" s="15"/>
      <c r="HF44" s="15"/>
      <c r="HG44" s="15"/>
      <c r="HH44" s="15"/>
      <c r="HI44" s="15"/>
      <c r="HJ44" s="15"/>
      <c r="HK44" s="15"/>
      <c r="HL44" s="15"/>
      <c r="HM44" s="15"/>
      <c r="HN44" s="15"/>
      <c r="HO44" s="15"/>
      <c r="HP44" s="15"/>
      <c r="HQ44" s="15"/>
      <c r="HR44" s="15"/>
      <c r="HS44" s="15"/>
      <c r="HT44" s="15"/>
      <c r="HU44" s="15"/>
      <c r="HV44" s="15"/>
      <c r="HW44" s="15"/>
      <c r="HX44" s="15"/>
      <c r="HY44" s="15"/>
      <c r="HZ44" s="15"/>
      <c r="IA44" s="15"/>
      <c r="IB44" s="15"/>
      <c r="IC44" s="15"/>
      <c r="ID44" s="15"/>
      <c r="IE44" s="15"/>
      <c r="IF44" s="15"/>
      <c r="IG44" s="15"/>
    </row>
    <row r="45" spans="1:241" s="16" customFormat="1" ht="44" customHeight="1" x14ac:dyDescent="0.3">
      <c r="B45" s="499" t="s">
        <v>143</v>
      </c>
      <c r="C45" s="395" t="s">
        <v>129</v>
      </c>
      <c r="D45" s="376" t="s">
        <v>130</v>
      </c>
      <c r="E45" s="520" t="s">
        <v>144</v>
      </c>
      <c r="F45" s="598" t="s">
        <v>145</v>
      </c>
      <c r="G45" s="599"/>
      <c r="H45" s="450">
        <v>1</v>
      </c>
      <c r="I45" s="451">
        <f>'ผลพิ69-สรุป'!I49</f>
        <v>3902400</v>
      </c>
      <c r="J45" s="495">
        <v>1</v>
      </c>
      <c r="K45" s="506">
        <v>1300000</v>
      </c>
      <c r="L45" s="381">
        <f>'สรุปใช้งบ 31กค'!H45</f>
        <v>3902400</v>
      </c>
      <c r="M45" s="307">
        <f>'สรุปใช้งบ 31กค'!L45</f>
        <v>1000000</v>
      </c>
      <c r="N45" s="418">
        <f t="shared" si="2"/>
        <v>-0.74374743747437466</v>
      </c>
      <c r="O45" s="56">
        <f t="shared" si="4"/>
        <v>1300000</v>
      </c>
      <c r="P45" s="413">
        <f t="shared" si="0"/>
        <v>-2602400</v>
      </c>
      <c r="Q45" s="418">
        <f t="shared" si="3"/>
        <v>-0.66687166871668713</v>
      </c>
      <c r="R45" s="442" t="str">
        <f t="shared" si="1"/>
        <v>ลดลง</v>
      </c>
      <c r="S45" s="434" t="s">
        <v>634</v>
      </c>
      <c r="T45" s="22"/>
      <c r="U45" s="23"/>
      <c r="V45" s="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15"/>
      <c r="BR45" s="15"/>
      <c r="BS45" s="15"/>
      <c r="BT45" s="15"/>
      <c r="BU45" s="15"/>
      <c r="BV45" s="15"/>
      <c r="BW45" s="15"/>
      <c r="BX45" s="15"/>
      <c r="BY45" s="15"/>
      <c r="BZ45" s="15"/>
      <c r="CA45" s="15"/>
      <c r="CB45" s="15"/>
      <c r="CC45" s="15"/>
      <c r="CD45" s="15"/>
      <c r="CE45" s="15"/>
      <c r="CF45" s="15"/>
      <c r="CG45" s="15"/>
      <c r="CH45" s="15"/>
      <c r="CI45" s="15"/>
      <c r="CJ45" s="15"/>
      <c r="CK45" s="15"/>
      <c r="CL45" s="15"/>
      <c r="CM45" s="15"/>
      <c r="CN45" s="15"/>
      <c r="CO45" s="15"/>
      <c r="CP45" s="15"/>
      <c r="CQ45" s="15"/>
      <c r="CR45" s="15"/>
      <c r="CS45" s="15"/>
      <c r="CT45" s="15"/>
      <c r="CU45" s="15"/>
      <c r="CV45" s="15"/>
      <c r="CW45" s="15"/>
      <c r="CX45" s="15"/>
      <c r="CY45" s="15"/>
      <c r="CZ45" s="15"/>
      <c r="DA45" s="15"/>
      <c r="DB45" s="15"/>
      <c r="DC45" s="15"/>
      <c r="DD45" s="15"/>
      <c r="DE45" s="15"/>
      <c r="DF45" s="15"/>
      <c r="DG45" s="15"/>
      <c r="DH45" s="15"/>
      <c r="DI45" s="15"/>
      <c r="DJ45" s="15"/>
      <c r="DK45" s="15"/>
      <c r="DL45" s="15"/>
      <c r="DM45" s="15"/>
      <c r="DN45" s="15"/>
      <c r="DO45" s="15"/>
      <c r="DP45" s="15"/>
      <c r="DQ45" s="15"/>
      <c r="DR45" s="15"/>
      <c r="DS45" s="15"/>
      <c r="DT45" s="15"/>
      <c r="DU45" s="15"/>
      <c r="DV45" s="15"/>
      <c r="DW45" s="15"/>
      <c r="DX45" s="15"/>
      <c r="DY45" s="15"/>
      <c r="DZ45" s="15"/>
      <c r="EA45" s="15"/>
      <c r="EB45" s="15"/>
      <c r="EC45" s="15"/>
      <c r="ED45" s="15"/>
      <c r="EE45" s="15"/>
      <c r="EF45" s="15"/>
      <c r="EG45" s="15"/>
      <c r="EH45" s="15"/>
      <c r="EI45" s="15"/>
      <c r="EJ45" s="15"/>
      <c r="EK45" s="15"/>
      <c r="EL45" s="15"/>
      <c r="EM45" s="15"/>
      <c r="EN45" s="15"/>
      <c r="EO45" s="15"/>
      <c r="EP45" s="15"/>
      <c r="EQ45" s="15"/>
      <c r="ER45" s="15"/>
      <c r="ES45" s="15"/>
      <c r="ET45" s="15"/>
      <c r="EU45" s="15"/>
      <c r="EV45" s="15"/>
      <c r="EW45" s="15"/>
      <c r="EX45" s="15"/>
      <c r="EY45" s="15"/>
      <c r="EZ45" s="15"/>
      <c r="FA45" s="15"/>
      <c r="FB45" s="15"/>
      <c r="FC45" s="15"/>
      <c r="FD45" s="15"/>
      <c r="FE45" s="15"/>
      <c r="FF45" s="15"/>
      <c r="FG45" s="15"/>
      <c r="FH45" s="15"/>
      <c r="FI45" s="15"/>
      <c r="FJ45" s="15"/>
      <c r="FK45" s="15"/>
      <c r="FL45" s="15"/>
      <c r="FM45" s="15"/>
      <c r="FN45" s="15"/>
      <c r="FO45" s="15"/>
      <c r="FP45" s="15"/>
      <c r="FQ45" s="15"/>
      <c r="FR45" s="15"/>
      <c r="FS45" s="15"/>
      <c r="FT45" s="15"/>
      <c r="FU45" s="15"/>
      <c r="FV45" s="15"/>
      <c r="FW45" s="15"/>
      <c r="FX45" s="15"/>
      <c r="FY45" s="15"/>
      <c r="FZ45" s="15"/>
      <c r="GA45" s="15"/>
      <c r="GB45" s="15"/>
      <c r="GC45" s="15"/>
      <c r="GD45" s="15"/>
      <c r="GE45" s="15"/>
      <c r="GF45" s="15"/>
      <c r="GG45" s="15"/>
      <c r="GH45" s="15"/>
      <c r="GI45" s="15"/>
      <c r="GJ45" s="15"/>
      <c r="GK45" s="15"/>
      <c r="GL45" s="15"/>
      <c r="GM45" s="15"/>
      <c r="GN45" s="15"/>
      <c r="GO45" s="15"/>
      <c r="GP45" s="15"/>
      <c r="GQ45" s="15"/>
      <c r="GR45" s="15"/>
      <c r="GS45" s="15"/>
      <c r="GT45" s="15"/>
      <c r="GU45" s="15"/>
      <c r="GV45" s="15"/>
      <c r="GW45" s="15"/>
      <c r="GX45" s="15"/>
      <c r="GY45" s="15"/>
      <c r="GZ45" s="15"/>
      <c r="HA45" s="15"/>
      <c r="HB45" s="15"/>
      <c r="HC45" s="15"/>
      <c r="HD45" s="15"/>
      <c r="HE45" s="15"/>
      <c r="HF45" s="15"/>
      <c r="HG45" s="15"/>
      <c r="HH45" s="15"/>
      <c r="HI45" s="15"/>
      <c r="HJ45" s="15"/>
      <c r="HK45" s="15"/>
      <c r="HL45" s="15"/>
      <c r="HM45" s="15"/>
      <c r="HN45" s="15"/>
      <c r="HO45" s="15"/>
      <c r="HP45" s="15"/>
      <c r="HQ45" s="15"/>
      <c r="HR45" s="15"/>
      <c r="HS45" s="15"/>
      <c r="HT45" s="15"/>
      <c r="HU45" s="15"/>
      <c r="HV45" s="15"/>
      <c r="HW45" s="15"/>
      <c r="HX45" s="15"/>
      <c r="HY45" s="15"/>
      <c r="HZ45" s="15"/>
      <c r="IA45" s="15"/>
      <c r="IB45" s="15"/>
      <c r="IC45" s="15"/>
      <c r="ID45" s="15"/>
      <c r="IE45" s="15"/>
      <c r="IF45" s="15"/>
      <c r="IG45" s="15"/>
    </row>
    <row r="46" spans="1:241" s="16" customFormat="1" ht="22.5" customHeight="1" x14ac:dyDescent="0.3">
      <c r="B46" s="397"/>
      <c r="C46" s="395" t="s">
        <v>146</v>
      </c>
      <c r="D46" s="10" t="s">
        <v>147</v>
      </c>
      <c r="E46" s="520" t="s">
        <v>148</v>
      </c>
      <c r="F46" s="598" t="str">
        <f>[23]แบบสำรวจอุปกรณ์!$D$22</f>
        <v>อุปกรณ์เคลื่อนย้ายรถ</v>
      </c>
      <c r="G46" s="599"/>
      <c r="H46" s="450" t="s">
        <v>20</v>
      </c>
      <c r="I46" s="451">
        <v>0</v>
      </c>
      <c r="J46" s="495">
        <f>[23]แบบสำรวจอุปกรณ์!$AB$22</f>
        <v>1</v>
      </c>
      <c r="K46" s="506">
        <f>ROUNDUP(23433*110%,-3)</f>
        <v>26000</v>
      </c>
      <c r="L46" s="381">
        <v>0</v>
      </c>
      <c r="M46" s="307">
        <v>0</v>
      </c>
      <c r="N46" s="422">
        <f t="shared" si="2"/>
        <v>1</v>
      </c>
      <c r="O46" s="56">
        <f t="shared" si="4"/>
        <v>26000</v>
      </c>
      <c r="P46" s="425">
        <f t="shared" si="0"/>
        <v>26000</v>
      </c>
      <c r="Q46" s="422">
        <f t="shared" si="3"/>
        <v>1</v>
      </c>
      <c r="R46" s="424" t="str">
        <f t="shared" si="1"/>
        <v>เพิ่มขึ้น</v>
      </c>
      <c r="S46" s="433" t="s">
        <v>635</v>
      </c>
      <c r="T46" s="22"/>
      <c r="U46" s="23"/>
      <c r="V46" s="5"/>
      <c r="W46" s="15"/>
      <c r="X46" s="15"/>
      <c r="Y46" s="15"/>
      <c r="Z46" s="15"/>
      <c r="AA46" s="15"/>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c r="BQ46" s="15"/>
      <c r="BR46" s="15"/>
      <c r="BS46" s="15"/>
      <c r="BT46" s="15"/>
      <c r="BU46" s="15"/>
      <c r="BV46" s="15"/>
      <c r="BW46" s="15"/>
      <c r="BX46" s="15"/>
      <c r="BY46" s="15"/>
      <c r="BZ46" s="15"/>
      <c r="CA46" s="15"/>
      <c r="CB46" s="15"/>
      <c r="CC46" s="15"/>
      <c r="CD46" s="15"/>
      <c r="CE46" s="15"/>
      <c r="CF46" s="15"/>
      <c r="CG46" s="15"/>
      <c r="CH46" s="15"/>
      <c r="CI46" s="15"/>
      <c r="CJ46" s="15"/>
      <c r="CK46" s="15"/>
      <c r="CL46" s="15"/>
      <c r="CM46" s="15"/>
      <c r="CN46" s="15"/>
      <c r="CO46" s="15"/>
      <c r="CP46" s="15"/>
      <c r="CQ46" s="15"/>
      <c r="CR46" s="15"/>
      <c r="CS46" s="15"/>
      <c r="CT46" s="15"/>
      <c r="CU46" s="15"/>
      <c r="CV46" s="15"/>
      <c r="CW46" s="15"/>
      <c r="CX46" s="15"/>
      <c r="CY46" s="15"/>
      <c r="CZ46" s="15"/>
      <c r="DA46" s="15"/>
      <c r="DB46" s="15"/>
      <c r="DC46" s="15"/>
      <c r="DD46" s="15"/>
      <c r="DE46" s="15"/>
      <c r="DF46" s="15"/>
      <c r="DG46" s="15"/>
      <c r="DH46" s="15"/>
      <c r="DI46" s="15"/>
      <c r="DJ46" s="15"/>
      <c r="DK46" s="15"/>
      <c r="DL46" s="15"/>
      <c r="DM46" s="15"/>
      <c r="DN46" s="15"/>
      <c r="DO46" s="15"/>
      <c r="DP46" s="15"/>
      <c r="DQ46" s="15"/>
      <c r="DR46" s="15"/>
      <c r="DS46" s="15"/>
      <c r="DT46" s="15"/>
      <c r="DU46" s="15"/>
      <c r="DV46" s="15"/>
      <c r="DW46" s="15"/>
      <c r="DX46" s="15"/>
      <c r="DY46" s="15"/>
      <c r="DZ46" s="15"/>
      <c r="EA46" s="15"/>
      <c r="EB46" s="15"/>
      <c r="EC46" s="15"/>
      <c r="ED46" s="15"/>
      <c r="EE46" s="15"/>
      <c r="EF46" s="15"/>
      <c r="EG46" s="15"/>
      <c r="EH46" s="15"/>
      <c r="EI46" s="15"/>
      <c r="EJ46" s="15"/>
      <c r="EK46" s="15"/>
      <c r="EL46" s="15"/>
      <c r="EM46" s="15"/>
      <c r="EN46" s="15"/>
      <c r="EO46" s="15"/>
      <c r="EP46" s="15"/>
      <c r="EQ46" s="15"/>
      <c r="ER46" s="15"/>
      <c r="ES46" s="15"/>
      <c r="ET46" s="15"/>
      <c r="EU46" s="15"/>
      <c r="EV46" s="15"/>
      <c r="EW46" s="15"/>
      <c r="EX46" s="15"/>
      <c r="EY46" s="15"/>
      <c r="EZ46" s="15"/>
      <c r="FA46" s="15"/>
      <c r="FB46" s="15"/>
      <c r="FC46" s="15"/>
      <c r="FD46" s="15"/>
      <c r="FE46" s="15"/>
      <c r="FF46" s="15"/>
      <c r="FG46" s="15"/>
      <c r="FH46" s="15"/>
      <c r="FI46" s="15"/>
      <c r="FJ46" s="15"/>
      <c r="FK46" s="15"/>
      <c r="FL46" s="15"/>
      <c r="FM46" s="15"/>
      <c r="FN46" s="15"/>
      <c r="FO46" s="15"/>
      <c r="FP46" s="15"/>
      <c r="FQ46" s="15"/>
      <c r="FR46" s="15"/>
      <c r="FS46" s="15"/>
      <c r="FT46" s="15"/>
      <c r="FU46" s="15"/>
      <c r="FV46" s="15"/>
      <c r="FW46" s="15"/>
      <c r="FX46" s="15"/>
      <c r="FY46" s="15"/>
      <c r="FZ46" s="15"/>
      <c r="GA46" s="15"/>
      <c r="GB46" s="15"/>
      <c r="GC46" s="15"/>
      <c r="GD46" s="15"/>
      <c r="GE46" s="15"/>
      <c r="GF46" s="15"/>
      <c r="GG46" s="15"/>
      <c r="GH46" s="15"/>
      <c r="GI46" s="15"/>
      <c r="GJ46" s="15"/>
      <c r="GK46" s="15"/>
      <c r="GL46" s="15"/>
      <c r="GM46" s="15"/>
      <c r="GN46" s="15"/>
      <c r="GO46" s="15"/>
      <c r="GP46" s="15"/>
      <c r="GQ46" s="15"/>
      <c r="GR46" s="15"/>
      <c r="GS46" s="15"/>
      <c r="GT46" s="15"/>
      <c r="GU46" s="15"/>
      <c r="GV46" s="15"/>
      <c r="GW46" s="15"/>
      <c r="GX46" s="15"/>
      <c r="GY46" s="15"/>
      <c r="GZ46" s="15"/>
      <c r="HA46" s="15"/>
      <c r="HB46" s="15"/>
      <c r="HC46" s="15"/>
      <c r="HD46" s="15"/>
      <c r="HE46" s="15"/>
      <c r="HF46" s="15"/>
      <c r="HG46" s="15"/>
      <c r="HH46" s="15"/>
      <c r="HI46" s="15"/>
      <c r="HJ46" s="15"/>
      <c r="HK46" s="15"/>
      <c r="HL46" s="15"/>
      <c r="HM46" s="15"/>
      <c r="HN46" s="15"/>
      <c r="HO46" s="15"/>
      <c r="HP46" s="15"/>
      <c r="HQ46" s="15"/>
      <c r="HR46" s="15"/>
      <c r="HS46" s="15"/>
      <c r="HT46" s="15"/>
      <c r="HU46" s="15"/>
      <c r="HV46" s="15"/>
      <c r="HW46" s="15"/>
      <c r="HX46" s="15"/>
      <c r="HY46" s="15"/>
      <c r="HZ46" s="15"/>
      <c r="IA46" s="15"/>
      <c r="IB46" s="15"/>
      <c r="IC46" s="15"/>
      <c r="ID46" s="15"/>
      <c r="IE46" s="15"/>
      <c r="IF46" s="15"/>
      <c r="IG46" s="15"/>
    </row>
    <row r="47" spans="1:241" s="16" customFormat="1" ht="21.7" customHeight="1" x14ac:dyDescent="0.3">
      <c r="B47" s="387"/>
      <c r="C47" s="395" t="s">
        <v>149</v>
      </c>
      <c r="D47" s="10">
        <v>1800009014</v>
      </c>
      <c r="E47" s="520" t="s">
        <v>150</v>
      </c>
      <c r="F47" s="601" t="s">
        <v>151</v>
      </c>
      <c r="G47" s="602"/>
      <c r="H47" s="450" t="s">
        <v>20</v>
      </c>
      <c r="I47" s="451">
        <v>0</v>
      </c>
      <c r="J47" s="495">
        <v>10</v>
      </c>
      <c r="K47" s="506">
        <f>ROUNDUP((189900)*105%,-3)</f>
        <v>200000</v>
      </c>
      <c r="L47" s="381">
        <v>0</v>
      </c>
      <c r="M47" s="307">
        <v>0</v>
      </c>
      <c r="N47" s="422">
        <f t="shared" si="2"/>
        <v>1</v>
      </c>
      <c r="O47" s="56">
        <f t="shared" si="4"/>
        <v>2000000</v>
      </c>
      <c r="P47" s="425">
        <f t="shared" si="0"/>
        <v>2000000</v>
      </c>
      <c r="Q47" s="422">
        <f t="shared" si="3"/>
        <v>1</v>
      </c>
      <c r="R47" s="424" t="str">
        <f t="shared" si="1"/>
        <v>เพิ่มขึ้น</v>
      </c>
      <c r="S47" s="433" t="s">
        <v>637</v>
      </c>
      <c r="T47" s="22"/>
      <c r="U47" s="23"/>
      <c r="V47" s="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c r="BV47" s="15"/>
      <c r="BW47" s="15"/>
      <c r="BX47" s="15"/>
      <c r="BY47" s="15"/>
      <c r="BZ47" s="15"/>
      <c r="CA47" s="15"/>
      <c r="CB47" s="15"/>
      <c r="CC47" s="15"/>
      <c r="CD47" s="15"/>
      <c r="CE47" s="15"/>
      <c r="CF47" s="15"/>
      <c r="CG47" s="15"/>
      <c r="CH47" s="15"/>
      <c r="CI47" s="15"/>
      <c r="CJ47" s="15"/>
      <c r="CK47" s="15"/>
      <c r="CL47" s="15"/>
      <c r="CM47" s="15"/>
      <c r="CN47" s="15"/>
      <c r="CO47" s="15"/>
      <c r="CP47" s="15"/>
      <c r="CQ47" s="15"/>
      <c r="CR47" s="15"/>
      <c r="CS47" s="15"/>
      <c r="CT47" s="15"/>
      <c r="CU47" s="15"/>
      <c r="CV47" s="15"/>
      <c r="CW47" s="15"/>
      <c r="CX47" s="15"/>
      <c r="CY47" s="15"/>
      <c r="CZ47" s="15"/>
      <c r="DA47" s="15"/>
      <c r="DB47" s="15"/>
      <c r="DC47" s="15"/>
      <c r="DD47" s="15"/>
      <c r="DE47" s="15"/>
      <c r="DF47" s="15"/>
      <c r="DG47" s="15"/>
      <c r="DH47" s="15"/>
      <c r="DI47" s="15"/>
      <c r="DJ47" s="15"/>
      <c r="DK47" s="15"/>
      <c r="DL47" s="15"/>
      <c r="DM47" s="15"/>
      <c r="DN47" s="15"/>
      <c r="DO47" s="15"/>
      <c r="DP47" s="15"/>
      <c r="DQ47" s="15"/>
      <c r="DR47" s="15"/>
      <c r="DS47" s="15"/>
      <c r="DT47" s="15"/>
      <c r="DU47" s="15"/>
      <c r="DV47" s="15"/>
      <c r="DW47" s="15"/>
      <c r="DX47" s="15"/>
      <c r="DY47" s="15"/>
      <c r="DZ47" s="15"/>
      <c r="EA47" s="15"/>
      <c r="EB47" s="15"/>
      <c r="EC47" s="15"/>
      <c r="ED47" s="15"/>
      <c r="EE47" s="15"/>
      <c r="EF47" s="15"/>
      <c r="EG47" s="15"/>
      <c r="EH47" s="15"/>
      <c r="EI47" s="15"/>
      <c r="EJ47" s="15"/>
      <c r="EK47" s="15"/>
      <c r="EL47" s="15"/>
      <c r="EM47" s="15"/>
      <c r="EN47" s="15"/>
      <c r="EO47" s="15"/>
      <c r="EP47" s="15"/>
      <c r="EQ47" s="15"/>
      <c r="ER47" s="15"/>
      <c r="ES47" s="15"/>
      <c r="ET47" s="15"/>
      <c r="EU47" s="15"/>
      <c r="EV47" s="15"/>
      <c r="EW47" s="15"/>
      <c r="EX47" s="15"/>
      <c r="EY47" s="15"/>
      <c r="EZ47" s="15"/>
      <c r="FA47" s="15"/>
      <c r="FB47" s="15"/>
      <c r="FC47" s="15"/>
      <c r="FD47" s="15"/>
      <c r="FE47" s="15"/>
      <c r="FF47" s="15"/>
      <c r="FG47" s="15"/>
      <c r="FH47" s="15"/>
      <c r="FI47" s="15"/>
      <c r="FJ47" s="15"/>
      <c r="FK47" s="15"/>
      <c r="FL47" s="15"/>
      <c r="FM47" s="15"/>
      <c r="FN47" s="15"/>
      <c r="FO47" s="15"/>
      <c r="FP47" s="15"/>
      <c r="FQ47" s="15"/>
      <c r="FR47" s="15"/>
      <c r="FS47" s="15"/>
      <c r="FT47" s="15"/>
      <c r="FU47" s="15"/>
      <c r="FV47" s="15"/>
      <c r="FW47" s="15"/>
      <c r="FX47" s="15"/>
      <c r="FY47" s="15"/>
      <c r="FZ47" s="15"/>
      <c r="GA47" s="15"/>
      <c r="GB47" s="15"/>
      <c r="GC47" s="15"/>
      <c r="GD47" s="15"/>
      <c r="GE47" s="15"/>
      <c r="GF47" s="15"/>
      <c r="GG47" s="15"/>
      <c r="GH47" s="15"/>
      <c r="GI47" s="15"/>
      <c r="GJ47" s="15"/>
      <c r="GK47" s="15"/>
      <c r="GL47" s="15"/>
      <c r="GM47" s="15"/>
      <c r="GN47" s="15"/>
      <c r="GO47" s="15"/>
      <c r="GP47" s="15"/>
      <c r="GQ47" s="15"/>
      <c r="GR47" s="15"/>
      <c r="GS47" s="15"/>
      <c r="GT47" s="15"/>
      <c r="GU47" s="15"/>
      <c r="GV47" s="15"/>
      <c r="GW47" s="15"/>
      <c r="GX47" s="15"/>
      <c r="GY47" s="15"/>
      <c r="GZ47" s="15"/>
      <c r="HA47" s="15"/>
      <c r="HB47" s="15"/>
      <c r="HC47" s="15"/>
      <c r="HD47" s="15"/>
      <c r="HE47" s="15"/>
      <c r="HF47" s="15"/>
      <c r="HG47" s="15"/>
      <c r="HH47" s="15"/>
      <c r="HI47" s="15"/>
      <c r="HJ47" s="15"/>
      <c r="HK47" s="15"/>
      <c r="HL47" s="15"/>
      <c r="HM47" s="15"/>
      <c r="HN47" s="15"/>
      <c r="HO47" s="15"/>
      <c r="HP47" s="15"/>
      <c r="HQ47" s="15"/>
      <c r="HR47" s="15"/>
      <c r="HS47" s="15"/>
      <c r="HT47" s="15"/>
      <c r="HU47" s="15"/>
      <c r="HV47" s="15"/>
      <c r="HW47" s="15"/>
      <c r="HX47" s="15"/>
      <c r="HY47" s="15"/>
      <c r="HZ47" s="15"/>
      <c r="IA47" s="15"/>
      <c r="IB47" s="15"/>
      <c r="IC47" s="15"/>
      <c r="ID47" s="15"/>
      <c r="IE47" s="15"/>
      <c r="IF47" s="15"/>
      <c r="IG47" s="15"/>
    </row>
    <row r="48" spans="1:241" s="16" customFormat="1" ht="21.7" customHeight="1" x14ac:dyDescent="0.3">
      <c r="B48" s="596" t="s">
        <v>668</v>
      </c>
      <c r="C48" s="597" t="s">
        <v>152</v>
      </c>
      <c r="D48" s="593">
        <v>1800009015</v>
      </c>
      <c r="E48" s="692" t="s">
        <v>153</v>
      </c>
      <c r="F48" s="601" t="s">
        <v>154</v>
      </c>
      <c r="G48" s="602"/>
      <c r="H48" s="450" t="s">
        <v>20</v>
      </c>
      <c r="I48" s="451">
        <v>0</v>
      </c>
      <c r="J48" s="495">
        <v>3</v>
      </c>
      <c r="K48" s="506">
        <f>ROUNDUP((25000*107%),-3)</f>
        <v>27000</v>
      </c>
      <c r="L48" s="381">
        <v>0</v>
      </c>
      <c r="M48" s="307">
        <v>0</v>
      </c>
      <c r="N48" s="422">
        <f t="shared" si="2"/>
        <v>1</v>
      </c>
      <c r="O48" s="56">
        <f t="shared" si="4"/>
        <v>81000</v>
      </c>
      <c r="P48" s="425">
        <f t="shared" si="0"/>
        <v>81000</v>
      </c>
      <c r="Q48" s="422">
        <f t="shared" si="3"/>
        <v>1</v>
      </c>
      <c r="R48" s="424" t="str">
        <f t="shared" si="1"/>
        <v>เพิ่มขึ้น</v>
      </c>
      <c r="S48" s="623" t="s">
        <v>667</v>
      </c>
      <c r="T48" s="22"/>
      <c r="U48" s="23"/>
      <c r="V48" s="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c r="EC48" s="15"/>
      <c r="ED48" s="15"/>
      <c r="EE48" s="15"/>
      <c r="EF48" s="15"/>
      <c r="EG48" s="15"/>
      <c r="EH48" s="15"/>
      <c r="EI48" s="15"/>
      <c r="EJ48" s="15"/>
      <c r="EK48" s="15"/>
      <c r="EL48" s="15"/>
      <c r="EM48" s="15"/>
      <c r="EN48" s="15"/>
      <c r="EO48" s="15"/>
      <c r="EP48" s="15"/>
      <c r="EQ48" s="15"/>
      <c r="ER48" s="15"/>
      <c r="ES48" s="15"/>
      <c r="ET48" s="15"/>
      <c r="EU48" s="15"/>
      <c r="EV48" s="15"/>
      <c r="EW48" s="15"/>
      <c r="EX48" s="15"/>
      <c r="EY48" s="15"/>
      <c r="EZ48" s="15"/>
      <c r="FA48" s="15"/>
      <c r="FB48" s="15"/>
      <c r="FC48" s="15"/>
      <c r="FD48" s="15"/>
      <c r="FE48" s="15"/>
      <c r="FF48" s="15"/>
      <c r="FG48" s="15"/>
      <c r="FH48" s="15"/>
      <c r="FI48" s="15"/>
      <c r="FJ48" s="15"/>
      <c r="FK48" s="15"/>
      <c r="FL48" s="15"/>
      <c r="FM48" s="15"/>
      <c r="FN48" s="15"/>
      <c r="FO48" s="15"/>
      <c r="FP48" s="15"/>
      <c r="FQ48" s="15"/>
      <c r="FR48" s="15"/>
      <c r="FS48" s="15"/>
      <c r="FT48" s="15"/>
      <c r="FU48" s="15"/>
      <c r="FV48" s="15"/>
      <c r="FW48" s="15"/>
      <c r="FX48" s="15"/>
      <c r="FY48" s="15"/>
      <c r="FZ48" s="15"/>
      <c r="GA48" s="15"/>
      <c r="GB48" s="15"/>
      <c r="GC48" s="15"/>
      <c r="GD48" s="15"/>
      <c r="GE48" s="15"/>
      <c r="GF48" s="15"/>
      <c r="GG48" s="15"/>
      <c r="GH48" s="15"/>
      <c r="GI48" s="15"/>
      <c r="GJ48" s="15"/>
      <c r="GK48" s="15"/>
      <c r="GL48" s="15"/>
      <c r="GM48" s="15"/>
      <c r="GN48" s="15"/>
      <c r="GO48" s="15"/>
      <c r="GP48" s="15"/>
      <c r="GQ48" s="15"/>
      <c r="GR48" s="15"/>
      <c r="GS48" s="15"/>
      <c r="GT48" s="15"/>
      <c r="GU48" s="15"/>
      <c r="GV48" s="15"/>
      <c r="GW48" s="15"/>
      <c r="GX48" s="15"/>
      <c r="GY48" s="15"/>
      <c r="GZ48" s="15"/>
      <c r="HA48" s="15"/>
      <c r="HB48" s="15"/>
      <c r="HC48" s="15"/>
      <c r="HD48" s="15"/>
      <c r="HE48" s="15"/>
      <c r="HF48" s="15"/>
      <c r="HG48" s="15"/>
      <c r="HH48" s="15"/>
      <c r="HI48" s="15"/>
      <c r="HJ48" s="15"/>
      <c r="HK48" s="15"/>
      <c r="HL48" s="15"/>
      <c r="HM48" s="15"/>
      <c r="HN48" s="15"/>
      <c r="HO48" s="15"/>
      <c r="HP48" s="15"/>
      <c r="HQ48" s="15"/>
      <c r="HR48" s="15"/>
      <c r="HS48" s="15"/>
      <c r="HT48" s="15"/>
      <c r="HU48" s="15"/>
      <c r="HV48" s="15"/>
      <c r="HW48" s="15"/>
      <c r="HX48" s="15"/>
      <c r="HY48" s="15"/>
      <c r="HZ48" s="15"/>
      <c r="IA48" s="15"/>
      <c r="IB48" s="15"/>
      <c r="IC48" s="15"/>
      <c r="ID48" s="15"/>
      <c r="IE48" s="15"/>
      <c r="IF48" s="15"/>
      <c r="IG48" s="15"/>
    </row>
    <row r="49" spans="2:241" s="16" customFormat="1" ht="21.7" customHeight="1" x14ac:dyDescent="0.3">
      <c r="B49" s="596"/>
      <c r="C49" s="597"/>
      <c r="D49" s="594"/>
      <c r="E49" s="693"/>
      <c r="F49" s="601" t="s">
        <v>155</v>
      </c>
      <c r="G49" s="602"/>
      <c r="H49" s="450" t="s">
        <v>20</v>
      </c>
      <c r="I49" s="451">
        <v>0</v>
      </c>
      <c r="J49" s="495">
        <v>3</v>
      </c>
      <c r="K49" s="506">
        <f>ROUNDUP((24500*107%),-3)</f>
        <v>27000</v>
      </c>
      <c r="L49" s="381">
        <v>0</v>
      </c>
      <c r="M49" s="307">
        <v>0</v>
      </c>
      <c r="N49" s="422">
        <f t="shared" si="2"/>
        <v>1</v>
      </c>
      <c r="O49" s="56">
        <f t="shared" si="4"/>
        <v>81000</v>
      </c>
      <c r="P49" s="425">
        <f t="shared" si="0"/>
        <v>81000</v>
      </c>
      <c r="Q49" s="422">
        <f t="shared" si="3"/>
        <v>1</v>
      </c>
      <c r="R49" s="424" t="str">
        <f t="shared" si="1"/>
        <v>เพิ่มขึ้น</v>
      </c>
      <c r="S49" s="625"/>
      <c r="T49" s="22"/>
      <c r="U49" s="23"/>
      <c r="V49" s="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15"/>
      <c r="BR49" s="15"/>
      <c r="BS49" s="15"/>
      <c r="BT49" s="15"/>
      <c r="BU49" s="15"/>
      <c r="BV49" s="15"/>
      <c r="BW49" s="15"/>
      <c r="BX49" s="15"/>
      <c r="BY49" s="15"/>
      <c r="BZ49" s="15"/>
      <c r="CA49" s="15"/>
      <c r="CB49" s="15"/>
      <c r="CC49" s="15"/>
      <c r="CD49" s="15"/>
      <c r="CE49" s="15"/>
      <c r="CF49" s="15"/>
      <c r="CG49" s="15"/>
      <c r="CH49" s="15"/>
      <c r="CI49" s="15"/>
      <c r="CJ49" s="15"/>
      <c r="CK49" s="15"/>
      <c r="CL49" s="15"/>
      <c r="CM49" s="15"/>
      <c r="CN49" s="15"/>
      <c r="CO49" s="15"/>
      <c r="CP49" s="15"/>
      <c r="CQ49" s="15"/>
      <c r="CR49" s="15"/>
      <c r="CS49" s="15"/>
      <c r="CT49" s="15"/>
      <c r="CU49" s="15"/>
      <c r="CV49" s="15"/>
      <c r="CW49" s="15"/>
      <c r="CX49" s="15"/>
      <c r="CY49" s="15"/>
      <c r="CZ49" s="15"/>
      <c r="DA49" s="15"/>
      <c r="DB49" s="15"/>
      <c r="DC49" s="15"/>
      <c r="DD49" s="15"/>
      <c r="DE49" s="15"/>
      <c r="DF49" s="15"/>
      <c r="DG49" s="15"/>
      <c r="DH49" s="15"/>
      <c r="DI49" s="15"/>
      <c r="DJ49" s="15"/>
      <c r="DK49" s="15"/>
      <c r="DL49" s="15"/>
      <c r="DM49" s="15"/>
      <c r="DN49" s="15"/>
      <c r="DO49" s="15"/>
      <c r="DP49" s="15"/>
      <c r="DQ49" s="15"/>
      <c r="DR49" s="15"/>
      <c r="DS49" s="15"/>
      <c r="DT49" s="15"/>
      <c r="DU49" s="15"/>
      <c r="DV49" s="15"/>
      <c r="DW49" s="15"/>
      <c r="DX49" s="15"/>
      <c r="DY49" s="15"/>
      <c r="DZ49" s="15"/>
      <c r="EA49" s="15"/>
      <c r="EB49" s="15"/>
      <c r="EC49" s="15"/>
      <c r="ED49" s="15"/>
      <c r="EE49" s="15"/>
      <c r="EF49" s="15"/>
      <c r="EG49" s="15"/>
      <c r="EH49" s="15"/>
      <c r="EI49" s="15"/>
      <c r="EJ49" s="15"/>
      <c r="EK49" s="15"/>
      <c r="EL49" s="15"/>
      <c r="EM49" s="15"/>
      <c r="EN49" s="15"/>
      <c r="EO49" s="15"/>
      <c r="EP49" s="15"/>
      <c r="EQ49" s="15"/>
      <c r="ER49" s="15"/>
      <c r="ES49" s="15"/>
      <c r="ET49" s="15"/>
      <c r="EU49" s="15"/>
      <c r="EV49" s="15"/>
      <c r="EW49" s="15"/>
      <c r="EX49" s="15"/>
      <c r="EY49" s="15"/>
      <c r="EZ49" s="15"/>
      <c r="FA49" s="15"/>
      <c r="FB49" s="15"/>
      <c r="FC49" s="15"/>
      <c r="FD49" s="15"/>
      <c r="FE49" s="15"/>
      <c r="FF49" s="15"/>
      <c r="FG49" s="15"/>
      <c r="FH49" s="15"/>
      <c r="FI49" s="15"/>
      <c r="FJ49" s="15"/>
      <c r="FK49" s="15"/>
      <c r="FL49" s="15"/>
      <c r="FM49" s="15"/>
      <c r="FN49" s="15"/>
      <c r="FO49" s="15"/>
      <c r="FP49" s="15"/>
      <c r="FQ49" s="15"/>
      <c r="FR49" s="15"/>
      <c r="FS49" s="15"/>
      <c r="FT49" s="15"/>
      <c r="FU49" s="15"/>
      <c r="FV49" s="15"/>
      <c r="FW49" s="15"/>
      <c r="FX49" s="15"/>
      <c r="FY49" s="15"/>
      <c r="FZ49" s="15"/>
      <c r="GA49" s="15"/>
      <c r="GB49" s="15"/>
      <c r="GC49" s="15"/>
      <c r="GD49" s="15"/>
      <c r="GE49" s="15"/>
      <c r="GF49" s="15"/>
      <c r="GG49" s="15"/>
      <c r="GH49" s="15"/>
      <c r="GI49" s="15"/>
      <c r="GJ49" s="15"/>
      <c r="GK49" s="15"/>
      <c r="GL49" s="15"/>
      <c r="GM49" s="15"/>
      <c r="GN49" s="15"/>
      <c r="GO49" s="15"/>
      <c r="GP49" s="15"/>
      <c r="GQ49" s="15"/>
      <c r="GR49" s="15"/>
      <c r="GS49" s="15"/>
      <c r="GT49" s="15"/>
      <c r="GU49" s="15"/>
      <c r="GV49" s="15"/>
      <c r="GW49" s="15"/>
      <c r="GX49" s="15"/>
      <c r="GY49" s="15"/>
      <c r="GZ49" s="15"/>
      <c r="HA49" s="15"/>
      <c r="HB49" s="15"/>
      <c r="HC49" s="15"/>
      <c r="HD49" s="15"/>
      <c r="HE49" s="15"/>
      <c r="HF49" s="15"/>
      <c r="HG49" s="15"/>
      <c r="HH49" s="15"/>
      <c r="HI49" s="15"/>
      <c r="HJ49" s="15"/>
      <c r="HK49" s="15"/>
      <c r="HL49" s="15"/>
      <c r="HM49" s="15"/>
      <c r="HN49" s="15"/>
      <c r="HO49" s="15"/>
      <c r="HP49" s="15"/>
      <c r="HQ49" s="15"/>
      <c r="HR49" s="15"/>
      <c r="HS49" s="15"/>
      <c r="HT49" s="15"/>
      <c r="HU49" s="15"/>
      <c r="HV49" s="15"/>
      <c r="HW49" s="15"/>
      <c r="HX49" s="15"/>
      <c r="HY49" s="15"/>
      <c r="HZ49" s="15"/>
      <c r="IA49" s="15"/>
      <c r="IB49" s="15"/>
      <c r="IC49" s="15"/>
      <c r="ID49" s="15"/>
      <c r="IE49" s="15"/>
      <c r="IF49" s="15"/>
      <c r="IG49" s="15"/>
    </row>
    <row r="50" spans="2:241" s="16" customFormat="1" ht="21.7" customHeight="1" x14ac:dyDescent="0.3">
      <c r="B50" s="596"/>
      <c r="C50" s="597"/>
      <c r="D50" s="595"/>
      <c r="E50" s="693"/>
      <c r="F50" s="601" t="s">
        <v>156</v>
      </c>
      <c r="G50" s="602"/>
      <c r="H50" s="450" t="s">
        <v>20</v>
      </c>
      <c r="I50" s="451">
        <v>0</v>
      </c>
      <c r="J50" s="495">
        <v>4</v>
      </c>
      <c r="K50" s="506">
        <f>ROUNDUP((27500*107%),-3)</f>
        <v>30000</v>
      </c>
      <c r="L50" s="381">
        <v>0</v>
      </c>
      <c r="M50" s="307">
        <v>0</v>
      </c>
      <c r="N50" s="508">
        <f t="shared" si="2"/>
        <v>1</v>
      </c>
      <c r="O50" s="56">
        <f>K50*J50</f>
        <v>120000</v>
      </c>
      <c r="P50" s="507">
        <f t="shared" si="0"/>
        <v>120000</v>
      </c>
      <c r="Q50" s="508">
        <f t="shared" si="3"/>
        <v>1</v>
      </c>
      <c r="R50" s="509" t="str">
        <f t="shared" si="1"/>
        <v>เพิ่มขึ้น</v>
      </c>
      <c r="S50" s="625"/>
      <c r="T50" s="22"/>
      <c r="U50" s="23"/>
      <c r="V50" s="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15"/>
      <c r="BQ50" s="15"/>
      <c r="BR50" s="15"/>
      <c r="BS50" s="15"/>
      <c r="BT50" s="15"/>
      <c r="BU50" s="15"/>
      <c r="BV50" s="15"/>
      <c r="BW50" s="15"/>
      <c r="BX50" s="15"/>
      <c r="BY50" s="15"/>
      <c r="BZ50" s="15"/>
      <c r="CA50" s="15"/>
      <c r="CB50" s="15"/>
      <c r="CC50" s="15"/>
      <c r="CD50" s="15"/>
      <c r="CE50" s="15"/>
      <c r="CF50" s="15"/>
      <c r="CG50" s="15"/>
      <c r="CH50" s="15"/>
      <c r="CI50" s="15"/>
      <c r="CJ50" s="15"/>
      <c r="CK50" s="15"/>
      <c r="CL50" s="15"/>
      <c r="CM50" s="15"/>
      <c r="CN50" s="15"/>
      <c r="CO50" s="15"/>
      <c r="CP50" s="15"/>
      <c r="CQ50" s="15"/>
      <c r="CR50" s="15"/>
      <c r="CS50" s="15"/>
      <c r="CT50" s="15"/>
      <c r="CU50" s="15"/>
      <c r="CV50" s="15"/>
      <c r="CW50" s="15"/>
      <c r="CX50" s="15"/>
      <c r="CY50" s="15"/>
      <c r="CZ50" s="15"/>
      <c r="DA50" s="15"/>
      <c r="DB50" s="15"/>
      <c r="DC50" s="15"/>
      <c r="DD50" s="15"/>
      <c r="DE50" s="15"/>
      <c r="DF50" s="15"/>
      <c r="DG50" s="15"/>
      <c r="DH50" s="15"/>
      <c r="DI50" s="15"/>
      <c r="DJ50" s="15"/>
      <c r="DK50" s="15"/>
      <c r="DL50" s="15"/>
      <c r="DM50" s="15"/>
      <c r="DN50" s="15"/>
      <c r="DO50" s="15"/>
      <c r="DP50" s="15"/>
      <c r="DQ50" s="15"/>
      <c r="DR50" s="15"/>
      <c r="DS50" s="15"/>
      <c r="DT50" s="15"/>
      <c r="DU50" s="15"/>
      <c r="DV50" s="15"/>
      <c r="DW50" s="15"/>
      <c r="DX50" s="15"/>
      <c r="DY50" s="15"/>
      <c r="DZ50" s="15"/>
      <c r="EA50" s="15"/>
      <c r="EB50" s="15"/>
      <c r="EC50" s="15"/>
      <c r="ED50" s="15"/>
      <c r="EE50" s="15"/>
      <c r="EF50" s="15"/>
      <c r="EG50" s="15"/>
      <c r="EH50" s="15"/>
      <c r="EI50" s="15"/>
      <c r="EJ50" s="15"/>
      <c r="EK50" s="15"/>
      <c r="EL50" s="15"/>
      <c r="EM50" s="15"/>
      <c r="EN50" s="15"/>
      <c r="EO50" s="15"/>
      <c r="EP50" s="15"/>
      <c r="EQ50" s="15"/>
      <c r="ER50" s="15"/>
      <c r="ES50" s="15"/>
      <c r="ET50" s="15"/>
      <c r="EU50" s="15"/>
      <c r="EV50" s="15"/>
      <c r="EW50" s="15"/>
      <c r="EX50" s="15"/>
      <c r="EY50" s="15"/>
      <c r="EZ50" s="15"/>
      <c r="FA50" s="15"/>
      <c r="FB50" s="15"/>
      <c r="FC50" s="15"/>
      <c r="FD50" s="15"/>
      <c r="FE50" s="15"/>
      <c r="FF50" s="15"/>
      <c r="FG50" s="15"/>
      <c r="FH50" s="15"/>
      <c r="FI50" s="15"/>
      <c r="FJ50" s="15"/>
      <c r="FK50" s="15"/>
      <c r="FL50" s="15"/>
      <c r="FM50" s="15"/>
      <c r="FN50" s="15"/>
      <c r="FO50" s="15"/>
      <c r="FP50" s="15"/>
      <c r="FQ50" s="15"/>
      <c r="FR50" s="15"/>
      <c r="FS50" s="15"/>
      <c r="FT50" s="15"/>
      <c r="FU50" s="15"/>
      <c r="FV50" s="15"/>
      <c r="FW50" s="15"/>
      <c r="FX50" s="15"/>
      <c r="FY50" s="15"/>
      <c r="FZ50" s="15"/>
      <c r="GA50" s="15"/>
      <c r="GB50" s="15"/>
      <c r="GC50" s="15"/>
      <c r="GD50" s="15"/>
      <c r="GE50" s="15"/>
      <c r="GF50" s="15"/>
      <c r="GG50" s="15"/>
      <c r="GH50" s="15"/>
      <c r="GI50" s="15"/>
      <c r="GJ50" s="15"/>
      <c r="GK50" s="15"/>
      <c r="GL50" s="15"/>
      <c r="GM50" s="15"/>
      <c r="GN50" s="15"/>
      <c r="GO50" s="15"/>
      <c r="GP50" s="15"/>
      <c r="GQ50" s="15"/>
      <c r="GR50" s="15"/>
      <c r="GS50" s="15"/>
      <c r="GT50" s="15"/>
      <c r="GU50" s="15"/>
      <c r="GV50" s="15"/>
      <c r="GW50" s="15"/>
      <c r="GX50" s="15"/>
      <c r="GY50" s="15"/>
      <c r="GZ50" s="15"/>
      <c r="HA50" s="15"/>
      <c r="HB50" s="15"/>
      <c r="HC50" s="15"/>
      <c r="HD50" s="15"/>
      <c r="HE50" s="15"/>
      <c r="HF50" s="15"/>
      <c r="HG50" s="15"/>
      <c r="HH50" s="15"/>
      <c r="HI50" s="15"/>
      <c r="HJ50" s="15"/>
      <c r="HK50" s="15"/>
      <c r="HL50" s="15"/>
      <c r="HM50" s="15"/>
      <c r="HN50" s="15"/>
      <c r="HO50" s="15"/>
      <c r="HP50" s="15"/>
      <c r="HQ50" s="15"/>
      <c r="HR50" s="15"/>
      <c r="HS50" s="15"/>
      <c r="HT50" s="15"/>
      <c r="HU50" s="15"/>
      <c r="HV50" s="15"/>
      <c r="HW50" s="15"/>
      <c r="HX50" s="15"/>
      <c r="HY50" s="15"/>
      <c r="HZ50" s="15"/>
      <c r="IA50" s="15"/>
      <c r="IB50" s="15"/>
      <c r="IC50" s="15"/>
      <c r="ID50" s="15"/>
      <c r="IE50" s="15"/>
      <c r="IF50" s="15"/>
      <c r="IG50" s="15"/>
    </row>
    <row r="51" spans="2:241" s="16" customFormat="1" ht="21.7" customHeight="1" x14ac:dyDescent="0.3">
      <c r="B51" s="596"/>
      <c r="C51" s="597"/>
      <c r="D51" s="10">
        <v>1800009016</v>
      </c>
      <c r="E51" s="694"/>
      <c r="F51" s="598" t="s">
        <v>157</v>
      </c>
      <c r="G51" s="599"/>
      <c r="H51" s="450">
        <f>10</f>
        <v>10</v>
      </c>
      <c r="I51" s="451">
        <f>'สรุปใช้งบ 31กค'!H44/10</f>
        <v>176550</v>
      </c>
      <c r="J51" s="495">
        <f>5+6</f>
        <v>11</v>
      </c>
      <c r="K51" s="506">
        <f>ROUNDUP((140000*107%),-1)</f>
        <v>149800</v>
      </c>
      <c r="L51" s="381">
        <f>'สรุปใช้งบ 31กค'!H44</f>
        <v>1765500</v>
      </c>
      <c r="M51" s="307">
        <f>'สรุปใช้งบ 31กค'!L44</f>
        <v>1765500</v>
      </c>
      <c r="N51" s="510">
        <f t="shared" si="2"/>
        <v>0</v>
      </c>
      <c r="O51" s="56">
        <f t="shared" ref="O51:O52" si="5">K51*J51</f>
        <v>1647800</v>
      </c>
      <c r="P51" s="479">
        <f t="shared" si="0"/>
        <v>-117700</v>
      </c>
      <c r="Q51" s="510">
        <f t="shared" si="3"/>
        <v>-6.6666666666666652E-2</v>
      </c>
      <c r="R51" s="482" t="str">
        <f t="shared" si="1"/>
        <v>ลดลง</v>
      </c>
      <c r="S51" s="434" t="s">
        <v>638</v>
      </c>
      <c r="T51" s="22"/>
      <c r="U51" s="23"/>
      <c r="V51" s="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c r="AX51" s="15"/>
      <c r="AY51" s="15"/>
      <c r="AZ51" s="15"/>
      <c r="BA51" s="15"/>
      <c r="BB51" s="15"/>
      <c r="BC51" s="15"/>
      <c r="BD51" s="15"/>
      <c r="BE51" s="15"/>
      <c r="BF51" s="15"/>
      <c r="BG51" s="15"/>
      <c r="BH51" s="15"/>
      <c r="BI51" s="15"/>
      <c r="BJ51" s="15"/>
      <c r="BK51" s="15"/>
      <c r="BL51" s="15"/>
      <c r="BM51" s="15"/>
      <c r="BN51" s="15"/>
      <c r="BO51" s="15"/>
      <c r="BP51" s="15"/>
      <c r="BQ51" s="15"/>
      <c r="BR51" s="15"/>
      <c r="BS51" s="15"/>
      <c r="BT51" s="15"/>
      <c r="BU51" s="15"/>
      <c r="BV51" s="15"/>
      <c r="BW51" s="15"/>
      <c r="BX51" s="15"/>
      <c r="BY51" s="15"/>
      <c r="BZ51" s="15"/>
      <c r="CA51" s="15"/>
      <c r="CB51" s="15"/>
      <c r="CC51" s="15"/>
      <c r="CD51" s="15"/>
      <c r="CE51" s="15"/>
      <c r="CF51" s="15"/>
      <c r="CG51" s="15"/>
      <c r="CH51" s="15"/>
      <c r="CI51" s="15"/>
      <c r="CJ51" s="15"/>
      <c r="CK51" s="15"/>
      <c r="CL51" s="15"/>
      <c r="CM51" s="15"/>
      <c r="CN51" s="15"/>
      <c r="CO51" s="15"/>
      <c r="CP51" s="15"/>
      <c r="CQ51" s="15"/>
      <c r="CR51" s="15"/>
      <c r="CS51" s="15"/>
      <c r="CT51" s="15"/>
      <c r="CU51" s="15"/>
      <c r="CV51" s="15"/>
      <c r="CW51" s="15"/>
      <c r="CX51" s="15"/>
      <c r="CY51" s="15"/>
      <c r="CZ51" s="15"/>
      <c r="DA51" s="15"/>
      <c r="DB51" s="15"/>
      <c r="DC51" s="15"/>
      <c r="DD51" s="15"/>
      <c r="DE51" s="15"/>
      <c r="DF51" s="15"/>
      <c r="DG51" s="15"/>
      <c r="DH51" s="15"/>
      <c r="DI51" s="15"/>
      <c r="DJ51" s="15"/>
      <c r="DK51" s="15"/>
      <c r="DL51" s="15"/>
      <c r="DM51" s="15"/>
      <c r="DN51" s="15"/>
      <c r="DO51" s="15"/>
      <c r="DP51" s="15"/>
      <c r="DQ51" s="15"/>
      <c r="DR51" s="15"/>
      <c r="DS51" s="15"/>
      <c r="DT51" s="15"/>
      <c r="DU51" s="15"/>
      <c r="DV51" s="15"/>
      <c r="DW51" s="15"/>
      <c r="DX51" s="15"/>
      <c r="DY51" s="15"/>
      <c r="DZ51" s="15"/>
      <c r="EA51" s="15"/>
      <c r="EB51" s="15"/>
      <c r="EC51" s="15"/>
      <c r="ED51" s="15"/>
      <c r="EE51" s="15"/>
      <c r="EF51" s="15"/>
      <c r="EG51" s="15"/>
      <c r="EH51" s="15"/>
      <c r="EI51" s="15"/>
      <c r="EJ51" s="15"/>
      <c r="EK51" s="15"/>
      <c r="EL51" s="15"/>
      <c r="EM51" s="15"/>
      <c r="EN51" s="15"/>
      <c r="EO51" s="15"/>
      <c r="EP51" s="15"/>
      <c r="EQ51" s="15"/>
      <c r="ER51" s="15"/>
      <c r="ES51" s="15"/>
      <c r="ET51" s="15"/>
      <c r="EU51" s="15"/>
      <c r="EV51" s="15"/>
      <c r="EW51" s="15"/>
      <c r="EX51" s="15"/>
      <c r="EY51" s="15"/>
      <c r="EZ51" s="15"/>
      <c r="FA51" s="15"/>
      <c r="FB51" s="15"/>
      <c r="FC51" s="15"/>
      <c r="FD51" s="15"/>
      <c r="FE51" s="15"/>
      <c r="FF51" s="15"/>
      <c r="FG51" s="15"/>
      <c r="FH51" s="15"/>
      <c r="FI51" s="15"/>
      <c r="FJ51" s="15"/>
      <c r="FK51" s="15"/>
      <c r="FL51" s="15"/>
      <c r="FM51" s="15"/>
      <c r="FN51" s="15"/>
      <c r="FO51" s="15"/>
      <c r="FP51" s="15"/>
      <c r="FQ51" s="15"/>
      <c r="FR51" s="15"/>
      <c r="FS51" s="15"/>
      <c r="FT51" s="15"/>
      <c r="FU51" s="15"/>
      <c r="FV51" s="15"/>
      <c r="FW51" s="15"/>
      <c r="FX51" s="15"/>
      <c r="FY51" s="15"/>
      <c r="FZ51" s="15"/>
      <c r="GA51" s="15"/>
      <c r="GB51" s="15"/>
      <c r="GC51" s="15"/>
      <c r="GD51" s="15"/>
      <c r="GE51" s="15"/>
      <c r="GF51" s="15"/>
      <c r="GG51" s="15"/>
      <c r="GH51" s="15"/>
      <c r="GI51" s="15"/>
      <c r="GJ51" s="15"/>
      <c r="GK51" s="15"/>
      <c r="GL51" s="15"/>
      <c r="GM51" s="15"/>
      <c r="GN51" s="15"/>
      <c r="GO51" s="15"/>
      <c r="GP51" s="15"/>
      <c r="GQ51" s="15"/>
      <c r="GR51" s="15"/>
      <c r="GS51" s="15"/>
      <c r="GT51" s="15"/>
      <c r="GU51" s="15"/>
      <c r="GV51" s="15"/>
      <c r="GW51" s="15"/>
      <c r="GX51" s="15"/>
      <c r="GY51" s="15"/>
      <c r="GZ51" s="15"/>
      <c r="HA51" s="15"/>
      <c r="HB51" s="15"/>
      <c r="HC51" s="15"/>
      <c r="HD51" s="15"/>
      <c r="HE51" s="15"/>
      <c r="HF51" s="15"/>
      <c r="HG51" s="15"/>
      <c r="HH51" s="15"/>
      <c r="HI51" s="15"/>
      <c r="HJ51" s="15"/>
      <c r="HK51" s="15"/>
      <c r="HL51" s="15"/>
      <c r="HM51" s="15"/>
      <c r="HN51" s="15"/>
      <c r="HO51" s="15"/>
      <c r="HP51" s="15"/>
      <c r="HQ51" s="15"/>
      <c r="HR51" s="15"/>
      <c r="HS51" s="15"/>
      <c r="HT51" s="15"/>
      <c r="HU51" s="15"/>
      <c r="HV51" s="15"/>
      <c r="HW51" s="15"/>
      <c r="HX51" s="15"/>
      <c r="HY51" s="15"/>
      <c r="HZ51" s="15"/>
      <c r="IA51" s="15"/>
      <c r="IB51" s="15"/>
      <c r="IC51" s="15"/>
      <c r="ID51" s="15"/>
      <c r="IE51" s="15"/>
      <c r="IF51" s="15"/>
      <c r="IG51" s="15"/>
    </row>
    <row r="52" spans="2:241" s="16" customFormat="1" ht="31.5" customHeight="1" x14ac:dyDescent="0.3">
      <c r="B52" s="387"/>
      <c r="C52" s="395" t="s">
        <v>149</v>
      </c>
      <c r="D52" s="10" t="s">
        <v>158</v>
      </c>
      <c r="E52" s="520" t="s">
        <v>159</v>
      </c>
      <c r="F52" s="601" t="s">
        <v>639</v>
      </c>
      <c r="G52" s="602"/>
      <c r="H52" s="450" t="s">
        <v>20</v>
      </c>
      <c r="I52" s="451">
        <v>0</v>
      </c>
      <c r="J52" s="495">
        <v>5</v>
      </c>
      <c r="K52" s="506">
        <f>ROUNDUP((59000*105%),-3)</f>
        <v>62000</v>
      </c>
      <c r="L52" s="381">
        <v>0</v>
      </c>
      <c r="M52" s="307">
        <v>0</v>
      </c>
      <c r="N52" s="512">
        <f t="shared" si="2"/>
        <v>1</v>
      </c>
      <c r="O52" s="56">
        <f t="shared" si="5"/>
        <v>310000</v>
      </c>
      <c r="P52" s="511">
        <f t="shared" si="0"/>
        <v>310000</v>
      </c>
      <c r="Q52" s="512">
        <f t="shared" si="3"/>
        <v>1</v>
      </c>
      <c r="R52" s="513" t="str">
        <f t="shared" si="1"/>
        <v>เพิ่มขึ้น</v>
      </c>
      <c r="S52" s="514" t="s">
        <v>640</v>
      </c>
      <c r="T52" s="22"/>
      <c r="U52" s="23"/>
      <c r="V52" s="5"/>
      <c r="W52" s="15"/>
      <c r="X52" s="15"/>
      <c r="Y52" s="15"/>
      <c r="Z52" s="15"/>
      <c r="AA52" s="15"/>
      <c r="AB52" s="15"/>
      <c r="AC52" s="15"/>
      <c r="AD52" s="15"/>
      <c r="AE52" s="15"/>
      <c r="AF52" s="15"/>
      <c r="AG52" s="15"/>
      <c r="AH52" s="15"/>
      <c r="AI52" s="15"/>
      <c r="AJ52" s="15"/>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5"/>
      <c r="BU52" s="15"/>
      <c r="BV52" s="15"/>
      <c r="BW52" s="15"/>
      <c r="BX52" s="15"/>
      <c r="BY52" s="15"/>
      <c r="BZ52" s="15"/>
      <c r="CA52" s="15"/>
      <c r="CB52" s="15"/>
      <c r="CC52" s="15"/>
      <c r="CD52" s="15"/>
      <c r="CE52" s="15"/>
      <c r="CF52" s="15"/>
      <c r="CG52" s="15"/>
      <c r="CH52" s="15"/>
      <c r="CI52" s="15"/>
      <c r="CJ52" s="15"/>
      <c r="CK52" s="15"/>
      <c r="CL52" s="15"/>
      <c r="CM52" s="15"/>
      <c r="CN52" s="15"/>
      <c r="CO52" s="15"/>
      <c r="CP52" s="15"/>
      <c r="CQ52" s="15"/>
      <c r="CR52" s="15"/>
      <c r="CS52" s="15"/>
      <c r="CT52" s="15"/>
      <c r="CU52" s="15"/>
      <c r="CV52" s="15"/>
      <c r="CW52" s="15"/>
      <c r="CX52" s="15"/>
      <c r="CY52" s="15"/>
      <c r="CZ52" s="15"/>
      <c r="DA52" s="15"/>
      <c r="DB52" s="15"/>
      <c r="DC52" s="15"/>
      <c r="DD52" s="15"/>
      <c r="DE52" s="15"/>
      <c r="DF52" s="15"/>
      <c r="DG52" s="15"/>
      <c r="DH52" s="15"/>
      <c r="DI52" s="15"/>
      <c r="DJ52" s="15"/>
      <c r="DK52" s="15"/>
      <c r="DL52" s="15"/>
      <c r="DM52" s="15"/>
      <c r="DN52" s="15"/>
      <c r="DO52" s="15"/>
      <c r="DP52" s="15"/>
      <c r="DQ52" s="15"/>
      <c r="DR52" s="15"/>
      <c r="DS52" s="15"/>
      <c r="DT52" s="15"/>
      <c r="DU52" s="15"/>
      <c r="DV52" s="15"/>
      <c r="DW52" s="15"/>
      <c r="DX52" s="15"/>
      <c r="DY52" s="15"/>
      <c r="DZ52" s="15"/>
      <c r="EA52" s="15"/>
      <c r="EB52" s="15"/>
      <c r="EC52" s="15"/>
      <c r="ED52" s="15"/>
      <c r="EE52" s="15"/>
      <c r="EF52" s="15"/>
      <c r="EG52" s="15"/>
      <c r="EH52" s="15"/>
      <c r="EI52" s="15"/>
      <c r="EJ52" s="15"/>
      <c r="EK52" s="15"/>
      <c r="EL52" s="15"/>
      <c r="EM52" s="15"/>
      <c r="EN52" s="15"/>
      <c r="EO52" s="15"/>
      <c r="EP52" s="15"/>
      <c r="EQ52" s="15"/>
      <c r="ER52" s="15"/>
      <c r="ES52" s="15"/>
      <c r="ET52" s="15"/>
      <c r="EU52" s="15"/>
      <c r="EV52" s="15"/>
      <c r="EW52" s="15"/>
      <c r="EX52" s="15"/>
      <c r="EY52" s="15"/>
      <c r="EZ52" s="15"/>
      <c r="FA52" s="15"/>
      <c r="FB52" s="15"/>
      <c r="FC52" s="15"/>
      <c r="FD52" s="15"/>
      <c r="FE52" s="15"/>
      <c r="FF52" s="15"/>
      <c r="FG52" s="15"/>
      <c r="FH52" s="15"/>
      <c r="FI52" s="15"/>
      <c r="FJ52" s="15"/>
      <c r="FK52" s="15"/>
      <c r="FL52" s="15"/>
      <c r="FM52" s="15"/>
      <c r="FN52" s="15"/>
      <c r="FO52" s="15"/>
      <c r="FP52" s="15"/>
      <c r="FQ52" s="15"/>
      <c r="FR52" s="15"/>
      <c r="FS52" s="15"/>
      <c r="FT52" s="15"/>
      <c r="FU52" s="15"/>
      <c r="FV52" s="15"/>
      <c r="FW52" s="15"/>
      <c r="FX52" s="15"/>
      <c r="FY52" s="15"/>
      <c r="FZ52" s="15"/>
      <c r="GA52" s="15"/>
      <c r="GB52" s="15"/>
      <c r="GC52" s="15"/>
      <c r="GD52" s="15"/>
      <c r="GE52" s="15"/>
      <c r="GF52" s="15"/>
      <c r="GG52" s="15"/>
      <c r="GH52" s="15"/>
      <c r="GI52" s="15"/>
      <c r="GJ52" s="15"/>
      <c r="GK52" s="15"/>
      <c r="GL52" s="15"/>
      <c r="GM52" s="15"/>
      <c r="GN52" s="15"/>
      <c r="GO52" s="15"/>
      <c r="GP52" s="15"/>
      <c r="GQ52" s="15"/>
      <c r="GR52" s="15"/>
      <c r="GS52" s="15"/>
      <c r="GT52" s="15"/>
      <c r="GU52" s="15"/>
      <c r="GV52" s="15"/>
      <c r="GW52" s="15"/>
      <c r="GX52" s="15"/>
      <c r="GY52" s="15"/>
      <c r="GZ52" s="15"/>
      <c r="HA52" s="15"/>
      <c r="HB52" s="15"/>
      <c r="HC52" s="15"/>
      <c r="HD52" s="15"/>
      <c r="HE52" s="15"/>
      <c r="HF52" s="15"/>
      <c r="HG52" s="15"/>
      <c r="HH52" s="15"/>
      <c r="HI52" s="15"/>
      <c r="HJ52" s="15"/>
      <c r="HK52" s="15"/>
      <c r="HL52" s="15"/>
      <c r="HM52" s="15"/>
      <c r="HN52" s="15"/>
      <c r="HO52" s="15"/>
      <c r="HP52" s="15"/>
      <c r="HQ52" s="15"/>
      <c r="HR52" s="15"/>
      <c r="HS52" s="15"/>
      <c r="HT52" s="15"/>
      <c r="HU52" s="15"/>
      <c r="HV52" s="15"/>
      <c r="HW52" s="15"/>
      <c r="HX52" s="15"/>
      <c r="HY52" s="15"/>
      <c r="HZ52" s="15"/>
      <c r="IA52" s="15"/>
      <c r="IB52" s="15"/>
      <c r="IC52" s="15"/>
      <c r="ID52" s="15"/>
      <c r="IE52" s="15"/>
      <c r="IF52" s="15"/>
      <c r="IG52" s="15"/>
    </row>
    <row r="53" spans="2:241" s="16" customFormat="1" ht="21.7" customHeight="1" x14ac:dyDescent="0.3">
      <c r="B53" s="387"/>
      <c r="C53" s="395" t="s">
        <v>149</v>
      </c>
      <c r="D53" s="593">
        <v>1800012038</v>
      </c>
      <c r="E53" s="520" t="s">
        <v>160</v>
      </c>
      <c r="F53" s="601" t="s">
        <v>161</v>
      </c>
      <c r="G53" s="602"/>
      <c r="H53" s="450" t="s">
        <v>20</v>
      </c>
      <c r="I53" s="451">
        <v>0</v>
      </c>
      <c r="J53" s="495">
        <v>2</v>
      </c>
      <c r="K53" s="506">
        <f>630000/2</f>
        <v>315000</v>
      </c>
      <c r="L53" s="381">
        <v>0</v>
      </c>
      <c r="M53" s="307">
        <v>0</v>
      </c>
      <c r="N53" s="422">
        <f t="shared" si="2"/>
        <v>1</v>
      </c>
      <c r="O53" s="56">
        <f t="shared" si="4"/>
        <v>630000</v>
      </c>
      <c r="P53" s="425">
        <f t="shared" si="0"/>
        <v>630000</v>
      </c>
      <c r="Q53" s="422">
        <f t="shared" si="3"/>
        <v>1</v>
      </c>
      <c r="R53" s="424" t="str">
        <f t="shared" si="1"/>
        <v>เพิ่มขึ้น</v>
      </c>
      <c r="S53" s="623" t="s">
        <v>641</v>
      </c>
      <c r="T53" s="22"/>
      <c r="U53" s="23"/>
      <c r="V53" s="5"/>
      <c r="W53" s="15"/>
      <c r="X53" s="15"/>
      <c r="Y53" s="15"/>
      <c r="Z53" s="15"/>
      <c r="AA53" s="15"/>
      <c r="AB53" s="15"/>
      <c r="AC53" s="15"/>
      <c r="AD53" s="15"/>
      <c r="AE53" s="15"/>
      <c r="AF53" s="15"/>
      <c r="AG53" s="15"/>
      <c r="AH53" s="15"/>
      <c r="AI53" s="15"/>
      <c r="AJ53" s="15"/>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5"/>
      <c r="BU53" s="15"/>
      <c r="BV53" s="15"/>
      <c r="BW53" s="15"/>
      <c r="BX53" s="15"/>
      <c r="BY53" s="15"/>
      <c r="BZ53" s="15"/>
      <c r="CA53" s="15"/>
      <c r="CB53" s="15"/>
      <c r="CC53" s="15"/>
      <c r="CD53" s="15"/>
      <c r="CE53" s="15"/>
      <c r="CF53" s="15"/>
      <c r="CG53" s="15"/>
      <c r="CH53" s="15"/>
      <c r="CI53" s="15"/>
      <c r="CJ53" s="15"/>
      <c r="CK53" s="15"/>
      <c r="CL53" s="15"/>
      <c r="CM53" s="15"/>
      <c r="CN53" s="15"/>
      <c r="CO53" s="15"/>
      <c r="CP53" s="15"/>
      <c r="CQ53" s="15"/>
      <c r="CR53" s="15"/>
      <c r="CS53" s="15"/>
      <c r="CT53" s="15"/>
      <c r="CU53" s="15"/>
      <c r="CV53" s="15"/>
      <c r="CW53" s="15"/>
      <c r="CX53" s="15"/>
      <c r="CY53" s="15"/>
      <c r="CZ53" s="15"/>
      <c r="DA53" s="15"/>
      <c r="DB53" s="15"/>
      <c r="DC53" s="15"/>
      <c r="DD53" s="15"/>
      <c r="DE53" s="15"/>
      <c r="DF53" s="15"/>
      <c r="DG53" s="15"/>
      <c r="DH53" s="15"/>
      <c r="DI53" s="15"/>
      <c r="DJ53" s="15"/>
      <c r="DK53" s="15"/>
      <c r="DL53" s="15"/>
      <c r="DM53" s="15"/>
      <c r="DN53" s="15"/>
      <c r="DO53" s="15"/>
      <c r="DP53" s="15"/>
      <c r="DQ53" s="15"/>
      <c r="DR53" s="15"/>
      <c r="DS53" s="15"/>
      <c r="DT53" s="15"/>
      <c r="DU53" s="15"/>
      <c r="DV53" s="15"/>
      <c r="DW53" s="15"/>
      <c r="DX53" s="15"/>
      <c r="DY53" s="15"/>
      <c r="DZ53" s="15"/>
      <c r="EA53" s="15"/>
      <c r="EB53" s="15"/>
      <c r="EC53" s="15"/>
      <c r="ED53" s="15"/>
      <c r="EE53" s="15"/>
      <c r="EF53" s="15"/>
      <c r="EG53" s="15"/>
      <c r="EH53" s="15"/>
      <c r="EI53" s="15"/>
      <c r="EJ53" s="15"/>
      <c r="EK53" s="15"/>
      <c r="EL53" s="15"/>
      <c r="EM53" s="15"/>
      <c r="EN53" s="15"/>
      <c r="EO53" s="15"/>
      <c r="EP53" s="15"/>
      <c r="EQ53" s="15"/>
      <c r="ER53" s="15"/>
      <c r="ES53" s="15"/>
      <c r="ET53" s="15"/>
      <c r="EU53" s="15"/>
      <c r="EV53" s="15"/>
      <c r="EW53" s="15"/>
      <c r="EX53" s="15"/>
      <c r="EY53" s="15"/>
      <c r="EZ53" s="15"/>
      <c r="FA53" s="15"/>
      <c r="FB53" s="15"/>
      <c r="FC53" s="15"/>
      <c r="FD53" s="15"/>
      <c r="FE53" s="15"/>
      <c r="FF53" s="15"/>
      <c r="FG53" s="15"/>
      <c r="FH53" s="15"/>
      <c r="FI53" s="15"/>
      <c r="FJ53" s="15"/>
      <c r="FK53" s="15"/>
      <c r="FL53" s="15"/>
      <c r="FM53" s="15"/>
      <c r="FN53" s="15"/>
      <c r="FO53" s="15"/>
      <c r="FP53" s="15"/>
      <c r="FQ53" s="15"/>
      <c r="FR53" s="15"/>
      <c r="FS53" s="15"/>
      <c r="FT53" s="15"/>
      <c r="FU53" s="15"/>
      <c r="FV53" s="15"/>
      <c r="FW53" s="15"/>
      <c r="FX53" s="15"/>
      <c r="FY53" s="15"/>
      <c r="FZ53" s="15"/>
      <c r="GA53" s="15"/>
      <c r="GB53" s="15"/>
      <c r="GC53" s="15"/>
      <c r="GD53" s="15"/>
      <c r="GE53" s="15"/>
      <c r="GF53" s="15"/>
      <c r="GG53" s="15"/>
      <c r="GH53" s="15"/>
      <c r="GI53" s="15"/>
      <c r="GJ53" s="15"/>
      <c r="GK53" s="15"/>
      <c r="GL53" s="15"/>
      <c r="GM53" s="15"/>
      <c r="GN53" s="15"/>
      <c r="GO53" s="15"/>
      <c r="GP53" s="15"/>
      <c r="GQ53" s="15"/>
      <c r="GR53" s="15"/>
      <c r="GS53" s="15"/>
      <c r="GT53" s="15"/>
      <c r="GU53" s="15"/>
      <c r="GV53" s="15"/>
      <c r="GW53" s="15"/>
      <c r="GX53" s="15"/>
      <c r="GY53" s="15"/>
      <c r="GZ53" s="15"/>
      <c r="HA53" s="15"/>
      <c r="HB53" s="15"/>
      <c r="HC53" s="15"/>
      <c r="HD53" s="15"/>
      <c r="HE53" s="15"/>
      <c r="HF53" s="15"/>
      <c r="HG53" s="15"/>
      <c r="HH53" s="15"/>
      <c r="HI53" s="15"/>
      <c r="HJ53" s="15"/>
      <c r="HK53" s="15"/>
      <c r="HL53" s="15"/>
      <c r="HM53" s="15"/>
      <c r="HN53" s="15"/>
      <c r="HO53" s="15"/>
      <c r="HP53" s="15"/>
      <c r="HQ53" s="15"/>
      <c r="HR53" s="15"/>
      <c r="HS53" s="15"/>
      <c r="HT53" s="15"/>
      <c r="HU53" s="15"/>
      <c r="HV53" s="15"/>
      <c r="HW53" s="15"/>
      <c r="HX53" s="15"/>
      <c r="HY53" s="15"/>
      <c r="HZ53" s="15"/>
      <c r="IA53" s="15"/>
      <c r="IB53" s="15"/>
      <c r="IC53" s="15"/>
      <c r="ID53" s="15"/>
      <c r="IE53" s="15"/>
      <c r="IF53" s="15"/>
      <c r="IG53" s="15"/>
    </row>
    <row r="54" spans="2:241" s="16" customFormat="1" ht="21.7" customHeight="1" x14ac:dyDescent="0.3">
      <c r="B54" s="393" t="s">
        <v>629</v>
      </c>
      <c r="C54" s="395" t="s">
        <v>149</v>
      </c>
      <c r="D54" s="595"/>
      <c r="E54" s="376" t="s">
        <v>162</v>
      </c>
      <c r="F54" s="601" t="s">
        <v>163</v>
      </c>
      <c r="G54" s="602"/>
      <c r="H54" s="450" t="s">
        <v>20</v>
      </c>
      <c r="I54" s="451">
        <v>0</v>
      </c>
      <c r="J54" s="495">
        <v>100</v>
      </c>
      <c r="K54" s="506">
        <v>120000</v>
      </c>
      <c r="L54" s="381">
        <v>0</v>
      </c>
      <c r="M54" s="307">
        <v>0</v>
      </c>
      <c r="N54" s="422">
        <f t="shared" si="2"/>
        <v>1</v>
      </c>
      <c r="O54" s="56">
        <f t="shared" si="4"/>
        <v>12000000</v>
      </c>
      <c r="P54" s="425">
        <f t="shared" si="0"/>
        <v>12000000</v>
      </c>
      <c r="Q54" s="422">
        <f t="shared" si="3"/>
        <v>1</v>
      </c>
      <c r="R54" s="49" t="str">
        <f t="shared" si="1"/>
        <v>เพิ่มขึ้น</v>
      </c>
      <c r="S54" s="624"/>
      <c r="T54" s="22"/>
      <c r="U54" s="23"/>
      <c r="V54" s="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5"/>
      <c r="AY54" s="15"/>
      <c r="AZ54" s="15"/>
      <c r="BA54" s="15"/>
      <c r="BB54" s="15"/>
      <c r="BC54" s="15"/>
      <c r="BD54" s="15"/>
      <c r="BE54" s="15"/>
      <c r="BF54" s="15"/>
      <c r="BG54" s="15"/>
      <c r="BH54" s="15"/>
      <c r="BI54" s="15"/>
      <c r="BJ54" s="15"/>
      <c r="BK54" s="15"/>
      <c r="BL54" s="15"/>
      <c r="BM54" s="15"/>
      <c r="BN54" s="15"/>
      <c r="BO54" s="15"/>
      <c r="BP54" s="15"/>
      <c r="BQ54" s="15"/>
      <c r="BR54" s="15"/>
      <c r="BS54" s="15"/>
      <c r="BT54" s="15"/>
      <c r="BU54" s="15"/>
      <c r="BV54" s="15"/>
      <c r="BW54" s="15"/>
      <c r="BX54" s="15"/>
      <c r="BY54" s="15"/>
      <c r="BZ54" s="15"/>
      <c r="CA54" s="15"/>
      <c r="CB54" s="15"/>
      <c r="CC54" s="15"/>
      <c r="CD54" s="15"/>
      <c r="CE54" s="15"/>
      <c r="CF54" s="15"/>
      <c r="CG54" s="15"/>
      <c r="CH54" s="15"/>
      <c r="CI54" s="15"/>
      <c r="CJ54" s="15"/>
      <c r="CK54" s="15"/>
      <c r="CL54" s="15"/>
      <c r="CM54" s="15"/>
      <c r="CN54" s="15"/>
      <c r="CO54" s="15"/>
      <c r="CP54" s="15"/>
      <c r="CQ54" s="15"/>
      <c r="CR54" s="15"/>
      <c r="CS54" s="15"/>
      <c r="CT54" s="15"/>
      <c r="CU54" s="15"/>
      <c r="CV54" s="15"/>
      <c r="CW54" s="15"/>
      <c r="CX54" s="15"/>
      <c r="CY54" s="15"/>
      <c r="CZ54" s="15"/>
      <c r="DA54" s="15"/>
      <c r="DB54" s="15"/>
      <c r="DC54" s="15"/>
      <c r="DD54" s="15"/>
      <c r="DE54" s="15"/>
      <c r="DF54" s="15"/>
      <c r="DG54" s="15"/>
      <c r="DH54" s="15"/>
      <c r="DI54" s="15"/>
      <c r="DJ54" s="15"/>
      <c r="DK54" s="15"/>
      <c r="DL54" s="15"/>
      <c r="DM54" s="15"/>
      <c r="DN54" s="15"/>
      <c r="DO54" s="15"/>
      <c r="DP54" s="15"/>
      <c r="DQ54" s="15"/>
      <c r="DR54" s="15"/>
      <c r="DS54" s="15"/>
      <c r="DT54" s="15"/>
      <c r="DU54" s="15"/>
      <c r="DV54" s="15"/>
      <c r="DW54" s="15"/>
      <c r="DX54" s="15"/>
      <c r="DY54" s="15"/>
      <c r="DZ54" s="15"/>
      <c r="EA54" s="15"/>
      <c r="EB54" s="15"/>
      <c r="EC54" s="15"/>
      <c r="ED54" s="15"/>
      <c r="EE54" s="15"/>
      <c r="EF54" s="15"/>
      <c r="EG54" s="15"/>
      <c r="EH54" s="15"/>
      <c r="EI54" s="15"/>
      <c r="EJ54" s="15"/>
      <c r="EK54" s="15"/>
      <c r="EL54" s="15"/>
      <c r="EM54" s="15"/>
      <c r="EN54" s="15"/>
      <c r="EO54" s="15"/>
      <c r="EP54" s="15"/>
      <c r="EQ54" s="15"/>
      <c r="ER54" s="15"/>
      <c r="ES54" s="15"/>
      <c r="ET54" s="15"/>
      <c r="EU54" s="15"/>
      <c r="EV54" s="15"/>
      <c r="EW54" s="15"/>
      <c r="EX54" s="15"/>
      <c r="EY54" s="15"/>
      <c r="EZ54" s="15"/>
      <c r="FA54" s="15"/>
      <c r="FB54" s="15"/>
      <c r="FC54" s="15"/>
      <c r="FD54" s="15"/>
      <c r="FE54" s="15"/>
      <c r="FF54" s="15"/>
      <c r="FG54" s="15"/>
      <c r="FH54" s="15"/>
      <c r="FI54" s="15"/>
      <c r="FJ54" s="15"/>
      <c r="FK54" s="15"/>
      <c r="FL54" s="15"/>
      <c r="FM54" s="15"/>
      <c r="FN54" s="15"/>
      <c r="FO54" s="15"/>
      <c r="FP54" s="15"/>
      <c r="FQ54" s="15"/>
      <c r="FR54" s="15"/>
      <c r="FS54" s="15"/>
      <c r="FT54" s="15"/>
      <c r="FU54" s="15"/>
      <c r="FV54" s="15"/>
      <c r="FW54" s="15"/>
      <c r="FX54" s="15"/>
      <c r="FY54" s="15"/>
      <c r="FZ54" s="15"/>
      <c r="GA54" s="15"/>
      <c r="GB54" s="15"/>
      <c r="GC54" s="15"/>
      <c r="GD54" s="15"/>
      <c r="GE54" s="15"/>
      <c r="GF54" s="15"/>
      <c r="GG54" s="15"/>
      <c r="GH54" s="15"/>
      <c r="GI54" s="15"/>
      <c r="GJ54" s="15"/>
      <c r="GK54" s="15"/>
      <c r="GL54" s="15"/>
      <c r="GM54" s="15"/>
      <c r="GN54" s="15"/>
      <c r="GO54" s="15"/>
      <c r="GP54" s="15"/>
      <c r="GQ54" s="15"/>
      <c r="GR54" s="15"/>
      <c r="GS54" s="15"/>
      <c r="GT54" s="15"/>
      <c r="GU54" s="15"/>
      <c r="GV54" s="15"/>
      <c r="GW54" s="15"/>
      <c r="GX54" s="15"/>
      <c r="GY54" s="15"/>
      <c r="GZ54" s="15"/>
      <c r="HA54" s="15"/>
      <c r="HB54" s="15"/>
      <c r="HC54" s="15"/>
      <c r="HD54" s="15"/>
      <c r="HE54" s="15"/>
      <c r="HF54" s="15"/>
      <c r="HG54" s="15"/>
      <c r="HH54" s="15"/>
      <c r="HI54" s="15"/>
      <c r="HJ54" s="15"/>
      <c r="HK54" s="15"/>
      <c r="HL54" s="15"/>
      <c r="HM54" s="15"/>
      <c r="HN54" s="15"/>
      <c r="HO54" s="15"/>
      <c r="HP54" s="15"/>
      <c r="HQ54" s="15"/>
      <c r="HR54" s="15"/>
      <c r="HS54" s="15"/>
      <c r="HT54" s="15"/>
      <c r="HU54" s="15"/>
      <c r="HV54" s="15"/>
      <c r="HW54" s="15"/>
      <c r="HX54" s="15"/>
      <c r="HY54" s="15"/>
      <c r="HZ54" s="15"/>
      <c r="IA54" s="15"/>
      <c r="IB54" s="15"/>
      <c r="IC54" s="15"/>
      <c r="ID54" s="15"/>
      <c r="IE54" s="15"/>
      <c r="IF54" s="15"/>
      <c r="IG54" s="15"/>
    </row>
    <row r="55" spans="2:241" s="16" customFormat="1" ht="36.5" customHeight="1" x14ac:dyDescent="0.3">
      <c r="B55" s="397" t="s">
        <v>164</v>
      </c>
      <c r="C55" s="395" t="s">
        <v>152</v>
      </c>
      <c r="D55" s="10">
        <v>1800009024</v>
      </c>
      <c r="E55" s="520" t="s">
        <v>165</v>
      </c>
      <c r="F55" s="670" t="s">
        <v>166</v>
      </c>
      <c r="G55" s="670"/>
      <c r="H55" s="450" t="s">
        <v>20</v>
      </c>
      <c r="I55" s="451">
        <v>0</v>
      </c>
      <c r="J55" s="495">
        <v>6</v>
      </c>
      <c r="K55" s="506">
        <f>ROUNDUP((171200/6),-3)</f>
        <v>29000</v>
      </c>
      <c r="L55" s="381">
        <v>0</v>
      </c>
      <c r="M55" s="307">
        <v>0</v>
      </c>
      <c r="N55" s="422">
        <f t="shared" si="2"/>
        <v>1</v>
      </c>
      <c r="O55" s="56">
        <f t="shared" si="4"/>
        <v>174000</v>
      </c>
      <c r="P55" s="425">
        <f t="shared" si="0"/>
        <v>174000</v>
      </c>
      <c r="Q55" s="422">
        <f t="shared" si="3"/>
        <v>1</v>
      </c>
      <c r="R55" s="424" t="str">
        <f t="shared" si="1"/>
        <v>เพิ่มขึ้น</v>
      </c>
      <c r="S55" s="433" t="s">
        <v>648</v>
      </c>
      <c r="T55" s="22"/>
      <c r="U55" s="23"/>
      <c r="V55" s="5"/>
      <c r="W55" s="15"/>
      <c r="X55" s="15"/>
      <c r="Y55" s="15"/>
      <c r="Z55" s="15"/>
      <c r="AA55" s="15"/>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15"/>
      <c r="BD55" s="15"/>
      <c r="BE55" s="15"/>
      <c r="BF55" s="15"/>
      <c r="BG55" s="15"/>
      <c r="BH55" s="15"/>
      <c r="BI55" s="15"/>
      <c r="BJ55" s="15"/>
      <c r="BK55" s="15"/>
      <c r="BL55" s="15"/>
      <c r="BM55" s="15"/>
      <c r="BN55" s="15"/>
      <c r="BO55" s="15"/>
      <c r="BP55" s="15"/>
      <c r="BQ55" s="15"/>
      <c r="BR55" s="15"/>
      <c r="BS55" s="15"/>
      <c r="BT55" s="15"/>
      <c r="BU55" s="15"/>
      <c r="BV55" s="15"/>
      <c r="BW55" s="15"/>
      <c r="BX55" s="15"/>
      <c r="BY55" s="15"/>
      <c r="BZ55" s="15"/>
      <c r="CA55" s="15"/>
      <c r="CB55" s="15"/>
      <c r="CC55" s="15"/>
      <c r="CD55" s="15"/>
      <c r="CE55" s="15"/>
      <c r="CF55" s="15"/>
      <c r="CG55" s="15"/>
      <c r="CH55" s="15"/>
      <c r="CI55" s="15"/>
      <c r="CJ55" s="15"/>
      <c r="CK55" s="15"/>
      <c r="CL55" s="15"/>
      <c r="CM55" s="15"/>
      <c r="CN55" s="15"/>
      <c r="CO55" s="15"/>
      <c r="CP55" s="15"/>
      <c r="CQ55" s="15"/>
      <c r="CR55" s="15"/>
      <c r="CS55" s="15"/>
      <c r="CT55" s="15"/>
      <c r="CU55" s="15"/>
      <c r="CV55" s="15"/>
      <c r="CW55" s="15"/>
      <c r="CX55" s="15"/>
      <c r="CY55" s="15"/>
      <c r="CZ55" s="15"/>
      <c r="DA55" s="15"/>
      <c r="DB55" s="15"/>
      <c r="DC55" s="15"/>
      <c r="DD55" s="15"/>
      <c r="DE55" s="15"/>
      <c r="DF55" s="15"/>
      <c r="DG55" s="15"/>
      <c r="DH55" s="15"/>
      <c r="DI55" s="15"/>
      <c r="DJ55" s="15"/>
      <c r="DK55" s="15"/>
      <c r="DL55" s="15"/>
      <c r="DM55" s="15"/>
      <c r="DN55" s="15"/>
      <c r="DO55" s="15"/>
      <c r="DP55" s="15"/>
      <c r="DQ55" s="15"/>
      <c r="DR55" s="15"/>
      <c r="DS55" s="15"/>
      <c r="DT55" s="15"/>
      <c r="DU55" s="15"/>
      <c r="DV55" s="15"/>
      <c r="DW55" s="15"/>
      <c r="DX55" s="15"/>
      <c r="DY55" s="15"/>
      <c r="DZ55" s="15"/>
      <c r="EA55" s="15"/>
      <c r="EB55" s="15"/>
      <c r="EC55" s="15"/>
      <c r="ED55" s="15"/>
      <c r="EE55" s="15"/>
      <c r="EF55" s="15"/>
      <c r="EG55" s="15"/>
      <c r="EH55" s="15"/>
      <c r="EI55" s="15"/>
      <c r="EJ55" s="15"/>
      <c r="EK55" s="15"/>
      <c r="EL55" s="15"/>
      <c r="EM55" s="15"/>
      <c r="EN55" s="15"/>
      <c r="EO55" s="15"/>
      <c r="EP55" s="15"/>
      <c r="EQ55" s="15"/>
      <c r="ER55" s="15"/>
      <c r="ES55" s="15"/>
      <c r="ET55" s="15"/>
      <c r="EU55" s="15"/>
      <c r="EV55" s="15"/>
      <c r="EW55" s="15"/>
      <c r="EX55" s="15"/>
      <c r="EY55" s="15"/>
      <c r="EZ55" s="15"/>
      <c r="FA55" s="15"/>
      <c r="FB55" s="15"/>
      <c r="FC55" s="15"/>
      <c r="FD55" s="15"/>
      <c r="FE55" s="15"/>
      <c r="FF55" s="15"/>
      <c r="FG55" s="15"/>
      <c r="FH55" s="15"/>
      <c r="FI55" s="15"/>
      <c r="FJ55" s="15"/>
      <c r="FK55" s="15"/>
      <c r="FL55" s="15"/>
      <c r="FM55" s="15"/>
      <c r="FN55" s="15"/>
      <c r="FO55" s="15"/>
      <c r="FP55" s="15"/>
      <c r="FQ55" s="15"/>
      <c r="FR55" s="15"/>
      <c r="FS55" s="15"/>
      <c r="FT55" s="15"/>
      <c r="FU55" s="15"/>
      <c r="FV55" s="15"/>
      <c r="FW55" s="15"/>
      <c r="FX55" s="15"/>
      <c r="FY55" s="15"/>
      <c r="FZ55" s="15"/>
      <c r="GA55" s="15"/>
      <c r="GB55" s="15"/>
      <c r="GC55" s="15"/>
      <c r="GD55" s="15"/>
      <c r="GE55" s="15"/>
      <c r="GF55" s="15"/>
      <c r="GG55" s="15"/>
      <c r="GH55" s="15"/>
      <c r="GI55" s="15"/>
      <c r="GJ55" s="15"/>
      <c r="GK55" s="15"/>
      <c r="GL55" s="15"/>
      <c r="GM55" s="15"/>
      <c r="GN55" s="15"/>
      <c r="GO55" s="15"/>
      <c r="GP55" s="15"/>
      <c r="GQ55" s="15"/>
      <c r="GR55" s="15"/>
      <c r="GS55" s="15"/>
      <c r="GT55" s="15"/>
      <c r="GU55" s="15"/>
      <c r="GV55" s="15"/>
      <c r="GW55" s="15"/>
      <c r="GX55" s="15"/>
      <c r="GY55" s="15"/>
      <c r="GZ55" s="15"/>
      <c r="HA55" s="15"/>
      <c r="HB55" s="15"/>
      <c r="HC55" s="15"/>
      <c r="HD55" s="15"/>
      <c r="HE55" s="15"/>
      <c r="HF55" s="15"/>
      <c r="HG55" s="15"/>
      <c r="HH55" s="15"/>
      <c r="HI55" s="15"/>
      <c r="HJ55" s="15"/>
      <c r="HK55" s="15"/>
      <c r="HL55" s="15"/>
      <c r="HM55" s="15"/>
      <c r="HN55" s="15"/>
      <c r="HO55" s="15"/>
      <c r="HP55" s="15"/>
      <c r="HQ55" s="15"/>
      <c r="HR55" s="15"/>
      <c r="HS55" s="15"/>
      <c r="HT55" s="15"/>
      <c r="HU55" s="15"/>
      <c r="HV55" s="15"/>
      <c r="HW55" s="15"/>
      <c r="HX55" s="15"/>
      <c r="HY55" s="15"/>
      <c r="HZ55" s="15"/>
      <c r="IA55" s="15"/>
      <c r="IB55" s="15"/>
      <c r="IC55" s="15"/>
      <c r="ID55" s="15"/>
      <c r="IE55" s="15"/>
      <c r="IF55" s="15"/>
      <c r="IG55" s="15"/>
    </row>
    <row r="56" spans="2:241" s="16" customFormat="1" ht="24" customHeight="1" x14ac:dyDescent="0.3">
      <c r="B56" s="397" t="s">
        <v>167</v>
      </c>
      <c r="C56" s="395" t="s">
        <v>152</v>
      </c>
      <c r="D56" s="10">
        <v>1800009007</v>
      </c>
      <c r="E56" s="520" t="s">
        <v>168</v>
      </c>
      <c r="F56" s="601" t="s">
        <v>169</v>
      </c>
      <c r="G56" s="602"/>
      <c r="H56" s="450">
        <v>1</v>
      </c>
      <c r="I56" s="452">
        <v>1765500</v>
      </c>
      <c r="J56" s="495">
        <v>1</v>
      </c>
      <c r="K56" s="506">
        <f>ROUNDUP((1738750*105%),-4)</f>
        <v>1830000</v>
      </c>
      <c r="L56" s="381">
        <f>'สรุปใช้งบ 31กค'!H48</f>
        <v>1765500</v>
      </c>
      <c r="M56" s="307">
        <f>'สรุปใช้งบ 31กค'!L48</f>
        <v>1760000</v>
      </c>
      <c r="N56" s="422">
        <f t="shared" si="2"/>
        <v>-3.1152647975077885E-3</v>
      </c>
      <c r="O56" s="56">
        <f t="shared" si="4"/>
        <v>1830000</v>
      </c>
      <c r="P56" s="425">
        <f t="shared" si="0"/>
        <v>64500</v>
      </c>
      <c r="Q56" s="422">
        <f t="shared" si="3"/>
        <v>3.6533559898045853E-2</v>
      </c>
      <c r="R56" s="424" t="str">
        <f t="shared" si="1"/>
        <v>เพิ่มขึ้น</v>
      </c>
      <c r="S56" s="515" t="s">
        <v>642</v>
      </c>
      <c r="T56" s="22"/>
      <c r="U56" s="23"/>
      <c r="V56" s="5"/>
      <c r="W56" s="15"/>
      <c r="X56" s="15"/>
      <c r="Y56" s="15"/>
      <c r="Z56" s="15"/>
      <c r="AA56" s="15"/>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15"/>
      <c r="BO56" s="15"/>
      <c r="BP56" s="15"/>
      <c r="BQ56" s="15"/>
      <c r="BR56" s="15"/>
      <c r="BS56" s="15"/>
      <c r="BT56" s="15"/>
      <c r="BU56" s="15"/>
      <c r="BV56" s="15"/>
      <c r="BW56" s="15"/>
      <c r="BX56" s="15"/>
      <c r="BY56" s="15"/>
      <c r="BZ56" s="15"/>
      <c r="CA56" s="15"/>
      <c r="CB56" s="15"/>
      <c r="CC56" s="15"/>
      <c r="CD56" s="15"/>
      <c r="CE56" s="15"/>
      <c r="CF56" s="15"/>
      <c r="CG56" s="15"/>
      <c r="CH56" s="15"/>
      <c r="CI56" s="15"/>
      <c r="CJ56" s="15"/>
      <c r="CK56" s="15"/>
      <c r="CL56" s="15"/>
      <c r="CM56" s="15"/>
      <c r="CN56" s="15"/>
      <c r="CO56" s="15"/>
      <c r="CP56" s="15"/>
      <c r="CQ56" s="15"/>
      <c r="CR56" s="15"/>
      <c r="CS56" s="15"/>
      <c r="CT56" s="15"/>
      <c r="CU56" s="15"/>
      <c r="CV56" s="15"/>
      <c r="CW56" s="15"/>
      <c r="CX56" s="15"/>
      <c r="CY56" s="15"/>
      <c r="CZ56" s="15"/>
      <c r="DA56" s="15"/>
      <c r="DB56" s="15"/>
      <c r="DC56" s="15"/>
      <c r="DD56" s="15"/>
      <c r="DE56" s="15"/>
      <c r="DF56" s="15"/>
      <c r="DG56" s="15"/>
      <c r="DH56" s="15"/>
      <c r="DI56" s="15"/>
      <c r="DJ56" s="15"/>
      <c r="DK56" s="15"/>
      <c r="DL56" s="15"/>
      <c r="DM56" s="15"/>
      <c r="DN56" s="15"/>
      <c r="DO56" s="15"/>
      <c r="DP56" s="15"/>
      <c r="DQ56" s="15"/>
      <c r="DR56" s="15"/>
      <c r="DS56" s="15"/>
      <c r="DT56" s="15"/>
      <c r="DU56" s="15"/>
      <c r="DV56" s="15"/>
      <c r="DW56" s="15"/>
      <c r="DX56" s="15"/>
      <c r="DY56" s="15"/>
      <c r="DZ56" s="15"/>
      <c r="EA56" s="15"/>
      <c r="EB56" s="15"/>
      <c r="EC56" s="15"/>
      <c r="ED56" s="15"/>
      <c r="EE56" s="15"/>
      <c r="EF56" s="15"/>
      <c r="EG56" s="15"/>
      <c r="EH56" s="15"/>
      <c r="EI56" s="15"/>
      <c r="EJ56" s="15"/>
      <c r="EK56" s="15"/>
      <c r="EL56" s="15"/>
      <c r="EM56" s="15"/>
      <c r="EN56" s="15"/>
      <c r="EO56" s="15"/>
      <c r="EP56" s="15"/>
      <c r="EQ56" s="15"/>
      <c r="ER56" s="15"/>
      <c r="ES56" s="15"/>
      <c r="ET56" s="15"/>
      <c r="EU56" s="15"/>
      <c r="EV56" s="15"/>
      <c r="EW56" s="15"/>
      <c r="EX56" s="15"/>
      <c r="EY56" s="15"/>
      <c r="EZ56" s="15"/>
      <c r="FA56" s="15"/>
      <c r="FB56" s="15"/>
      <c r="FC56" s="15"/>
      <c r="FD56" s="15"/>
      <c r="FE56" s="15"/>
      <c r="FF56" s="15"/>
      <c r="FG56" s="15"/>
      <c r="FH56" s="15"/>
      <c r="FI56" s="15"/>
      <c r="FJ56" s="15"/>
      <c r="FK56" s="15"/>
      <c r="FL56" s="15"/>
      <c r="FM56" s="15"/>
      <c r="FN56" s="15"/>
      <c r="FO56" s="15"/>
      <c r="FP56" s="15"/>
      <c r="FQ56" s="15"/>
      <c r="FR56" s="15"/>
      <c r="FS56" s="15"/>
      <c r="FT56" s="15"/>
      <c r="FU56" s="15"/>
      <c r="FV56" s="15"/>
      <c r="FW56" s="15"/>
      <c r="FX56" s="15"/>
      <c r="FY56" s="15"/>
      <c r="FZ56" s="15"/>
      <c r="GA56" s="15"/>
      <c r="GB56" s="15"/>
      <c r="GC56" s="15"/>
      <c r="GD56" s="15"/>
      <c r="GE56" s="15"/>
      <c r="GF56" s="15"/>
      <c r="GG56" s="15"/>
      <c r="GH56" s="15"/>
      <c r="GI56" s="15"/>
      <c r="GJ56" s="15"/>
      <c r="GK56" s="15"/>
      <c r="GL56" s="15"/>
      <c r="GM56" s="15"/>
      <c r="GN56" s="15"/>
      <c r="GO56" s="15"/>
      <c r="GP56" s="15"/>
      <c r="GQ56" s="15"/>
      <c r="GR56" s="15"/>
      <c r="GS56" s="15"/>
      <c r="GT56" s="15"/>
      <c r="GU56" s="15"/>
      <c r="GV56" s="15"/>
      <c r="GW56" s="15"/>
      <c r="GX56" s="15"/>
      <c r="GY56" s="15"/>
      <c r="GZ56" s="15"/>
      <c r="HA56" s="15"/>
      <c r="HB56" s="15"/>
      <c r="HC56" s="15"/>
      <c r="HD56" s="15"/>
      <c r="HE56" s="15"/>
      <c r="HF56" s="15"/>
      <c r="HG56" s="15"/>
      <c r="HH56" s="15"/>
      <c r="HI56" s="15"/>
      <c r="HJ56" s="15"/>
      <c r="HK56" s="15"/>
      <c r="HL56" s="15"/>
      <c r="HM56" s="15"/>
      <c r="HN56" s="15"/>
      <c r="HO56" s="15"/>
      <c r="HP56" s="15"/>
      <c r="HQ56" s="15"/>
      <c r="HR56" s="15"/>
      <c r="HS56" s="15"/>
      <c r="HT56" s="15"/>
      <c r="HU56" s="15"/>
      <c r="HV56" s="15"/>
      <c r="HW56" s="15"/>
      <c r="HX56" s="15"/>
      <c r="HY56" s="15"/>
      <c r="HZ56" s="15"/>
      <c r="IA56" s="15"/>
      <c r="IB56" s="15"/>
      <c r="IC56" s="15"/>
      <c r="ID56" s="15"/>
      <c r="IE56" s="15"/>
      <c r="IF56" s="15"/>
      <c r="IG56" s="15"/>
    </row>
    <row r="57" spans="2:241" s="16" customFormat="1" ht="34.049999999999997" customHeight="1" x14ac:dyDescent="0.3">
      <c r="B57" s="393" t="s">
        <v>629</v>
      </c>
      <c r="C57" s="395" t="s">
        <v>152</v>
      </c>
      <c r="D57" s="10">
        <v>1800009032</v>
      </c>
      <c r="E57" s="376" t="s">
        <v>170</v>
      </c>
      <c r="F57" s="670" t="s">
        <v>171</v>
      </c>
      <c r="G57" s="670"/>
      <c r="H57" s="450" t="s">
        <v>20</v>
      </c>
      <c r="I57" s="451">
        <v>0</v>
      </c>
      <c r="J57" s="495">
        <v>10</v>
      </c>
      <c r="K57" s="506">
        <f>ROUNDUP((1594300*105%),-4)/10</f>
        <v>168000</v>
      </c>
      <c r="L57" s="381">
        <v>0</v>
      </c>
      <c r="M57" s="307">
        <v>0</v>
      </c>
      <c r="N57" s="422">
        <f t="shared" si="2"/>
        <v>1</v>
      </c>
      <c r="O57" s="56">
        <f t="shared" si="4"/>
        <v>1680000</v>
      </c>
      <c r="P57" s="425">
        <f t="shared" si="0"/>
        <v>1680000</v>
      </c>
      <c r="Q57" s="422">
        <f t="shared" si="3"/>
        <v>1</v>
      </c>
      <c r="R57" s="424" t="str">
        <f t="shared" si="1"/>
        <v>เพิ่มขึ้น</v>
      </c>
      <c r="S57" s="505" t="s">
        <v>650</v>
      </c>
      <c r="T57" s="22"/>
      <c r="U57" s="23"/>
      <c r="V57" s="5"/>
      <c r="W57" s="15"/>
      <c r="X57" s="15"/>
      <c r="Y57" s="15"/>
      <c r="Z57" s="15"/>
      <c r="AA57" s="15"/>
      <c r="AB57" s="15"/>
      <c r="AC57" s="15"/>
      <c r="AD57" s="15"/>
      <c r="AE57" s="15"/>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5"/>
      <c r="BU57" s="15"/>
      <c r="BV57" s="15"/>
      <c r="BW57" s="15"/>
      <c r="BX57" s="15"/>
      <c r="BY57" s="15"/>
      <c r="BZ57" s="15"/>
      <c r="CA57" s="15"/>
      <c r="CB57" s="15"/>
      <c r="CC57" s="15"/>
      <c r="CD57" s="15"/>
      <c r="CE57" s="15"/>
      <c r="CF57" s="15"/>
      <c r="CG57" s="15"/>
      <c r="CH57" s="15"/>
      <c r="CI57" s="15"/>
      <c r="CJ57" s="15"/>
      <c r="CK57" s="15"/>
      <c r="CL57" s="15"/>
      <c r="CM57" s="15"/>
      <c r="CN57" s="15"/>
      <c r="CO57" s="15"/>
      <c r="CP57" s="15"/>
      <c r="CQ57" s="15"/>
      <c r="CR57" s="15"/>
      <c r="CS57" s="15"/>
      <c r="CT57" s="15"/>
      <c r="CU57" s="15"/>
      <c r="CV57" s="15"/>
      <c r="CW57" s="15"/>
      <c r="CX57" s="15"/>
      <c r="CY57" s="15"/>
      <c r="CZ57" s="15"/>
      <c r="DA57" s="15"/>
      <c r="DB57" s="15"/>
      <c r="DC57" s="15"/>
      <c r="DD57" s="15"/>
      <c r="DE57" s="15"/>
      <c r="DF57" s="15"/>
      <c r="DG57" s="15"/>
      <c r="DH57" s="15"/>
      <c r="DI57" s="15"/>
      <c r="DJ57" s="15"/>
      <c r="DK57" s="15"/>
      <c r="DL57" s="15"/>
      <c r="DM57" s="15"/>
      <c r="DN57" s="15"/>
      <c r="DO57" s="15"/>
      <c r="DP57" s="15"/>
      <c r="DQ57" s="15"/>
      <c r="DR57" s="15"/>
      <c r="DS57" s="15"/>
      <c r="DT57" s="15"/>
      <c r="DU57" s="15"/>
      <c r="DV57" s="15"/>
      <c r="DW57" s="15"/>
      <c r="DX57" s="15"/>
      <c r="DY57" s="15"/>
      <c r="DZ57" s="15"/>
      <c r="EA57" s="15"/>
      <c r="EB57" s="15"/>
      <c r="EC57" s="15"/>
      <c r="ED57" s="15"/>
      <c r="EE57" s="15"/>
      <c r="EF57" s="15"/>
      <c r="EG57" s="15"/>
      <c r="EH57" s="15"/>
      <c r="EI57" s="15"/>
      <c r="EJ57" s="15"/>
      <c r="EK57" s="15"/>
      <c r="EL57" s="15"/>
      <c r="EM57" s="15"/>
      <c r="EN57" s="15"/>
      <c r="EO57" s="15"/>
      <c r="EP57" s="15"/>
      <c r="EQ57" s="15"/>
      <c r="ER57" s="15"/>
      <c r="ES57" s="15"/>
      <c r="ET57" s="15"/>
      <c r="EU57" s="15"/>
      <c r="EV57" s="15"/>
      <c r="EW57" s="15"/>
      <c r="EX57" s="15"/>
      <c r="EY57" s="15"/>
      <c r="EZ57" s="15"/>
      <c r="FA57" s="15"/>
      <c r="FB57" s="15"/>
      <c r="FC57" s="15"/>
      <c r="FD57" s="15"/>
      <c r="FE57" s="15"/>
      <c r="FF57" s="15"/>
      <c r="FG57" s="15"/>
      <c r="FH57" s="15"/>
      <c r="FI57" s="15"/>
      <c r="FJ57" s="15"/>
      <c r="FK57" s="15"/>
      <c r="FL57" s="15"/>
      <c r="FM57" s="15"/>
      <c r="FN57" s="15"/>
      <c r="FO57" s="15"/>
      <c r="FP57" s="15"/>
      <c r="FQ57" s="15"/>
      <c r="FR57" s="15"/>
      <c r="FS57" s="15"/>
      <c r="FT57" s="15"/>
      <c r="FU57" s="15"/>
      <c r="FV57" s="15"/>
      <c r="FW57" s="15"/>
      <c r="FX57" s="15"/>
      <c r="FY57" s="15"/>
      <c r="FZ57" s="15"/>
      <c r="GA57" s="15"/>
      <c r="GB57" s="15"/>
      <c r="GC57" s="15"/>
      <c r="GD57" s="15"/>
      <c r="GE57" s="15"/>
      <c r="GF57" s="15"/>
      <c r="GG57" s="15"/>
      <c r="GH57" s="15"/>
      <c r="GI57" s="15"/>
      <c r="GJ57" s="15"/>
      <c r="GK57" s="15"/>
      <c r="GL57" s="15"/>
      <c r="GM57" s="15"/>
      <c r="GN57" s="15"/>
      <c r="GO57" s="15"/>
      <c r="GP57" s="15"/>
      <c r="GQ57" s="15"/>
      <c r="GR57" s="15"/>
      <c r="GS57" s="15"/>
      <c r="GT57" s="15"/>
      <c r="GU57" s="15"/>
      <c r="GV57" s="15"/>
      <c r="GW57" s="15"/>
      <c r="GX57" s="15"/>
      <c r="GY57" s="15"/>
      <c r="GZ57" s="15"/>
      <c r="HA57" s="15"/>
      <c r="HB57" s="15"/>
      <c r="HC57" s="15"/>
      <c r="HD57" s="15"/>
      <c r="HE57" s="15"/>
      <c r="HF57" s="15"/>
      <c r="HG57" s="15"/>
      <c r="HH57" s="15"/>
      <c r="HI57" s="15"/>
      <c r="HJ57" s="15"/>
      <c r="HK57" s="15"/>
      <c r="HL57" s="15"/>
      <c r="HM57" s="15"/>
      <c r="HN57" s="15"/>
      <c r="HO57" s="15"/>
      <c r="HP57" s="15"/>
      <c r="HQ57" s="15"/>
      <c r="HR57" s="15"/>
      <c r="HS57" s="15"/>
      <c r="HT57" s="15"/>
      <c r="HU57" s="15"/>
      <c r="HV57" s="15"/>
      <c r="HW57" s="15"/>
      <c r="HX57" s="15"/>
      <c r="HY57" s="15"/>
      <c r="HZ57" s="15"/>
      <c r="IA57" s="15"/>
      <c r="IB57" s="15"/>
      <c r="IC57" s="15"/>
      <c r="ID57" s="15"/>
      <c r="IE57" s="15"/>
      <c r="IF57" s="15"/>
      <c r="IG57" s="15"/>
    </row>
    <row r="58" spans="2:241" s="16" customFormat="1" ht="26.2" customHeight="1" x14ac:dyDescent="0.3">
      <c r="B58" s="393" t="s">
        <v>172</v>
      </c>
      <c r="C58" s="395" t="s">
        <v>152</v>
      </c>
      <c r="D58" s="593">
        <v>1800009041</v>
      </c>
      <c r="E58" s="520" t="s">
        <v>173</v>
      </c>
      <c r="F58" s="618" t="s">
        <v>174</v>
      </c>
      <c r="G58" s="618"/>
      <c r="H58" s="450" t="s">
        <v>20</v>
      </c>
      <c r="I58" s="451">
        <v>0</v>
      </c>
      <c r="J58" s="495">
        <v>10</v>
      </c>
      <c r="K58" s="506">
        <f>ROUNDUP((10165),-3)</f>
        <v>11000</v>
      </c>
      <c r="L58" s="381">
        <v>0</v>
      </c>
      <c r="M58" s="307">
        <v>0</v>
      </c>
      <c r="N58" s="422">
        <f t="shared" si="2"/>
        <v>1</v>
      </c>
      <c r="O58" s="56">
        <f>K58*J58</f>
        <v>110000</v>
      </c>
      <c r="P58" s="425">
        <f t="shared" si="0"/>
        <v>110000</v>
      </c>
      <c r="Q58" s="422">
        <f t="shared" si="3"/>
        <v>1</v>
      </c>
      <c r="R58" s="424" t="str">
        <f t="shared" si="1"/>
        <v>เพิ่มขึ้น</v>
      </c>
      <c r="S58" s="433" t="s">
        <v>649</v>
      </c>
      <c r="T58" s="22"/>
      <c r="U58" s="23"/>
      <c r="V58" s="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5"/>
      <c r="BU58" s="15"/>
      <c r="BV58" s="15"/>
      <c r="BW58" s="15"/>
      <c r="BX58" s="15"/>
      <c r="BY58" s="15"/>
      <c r="BZ58" s="15"/>
      <c r="CA58" s="15"/>
      <c r="CB58" s="15"/>
      <c r="CC58" s="15"/>
      <c r="CD58" s="15"/>
      <c r="CE58" s="15"/>
      <c r="CF58" s="15"/>
      <c r="CG58" s="15"/>
      <c r="CH58" s="15"/>
      <c r="CI58" s="15"/>
      <c r="CJ58" s="15"/>
      <c r="CK58" s="15"/>
      <c r="CL58" s="15"/>
      <c r="CM58" s="15"/>
      <c r="CN58" s="15"/>
      <c r="CO58" s="15"/>
      <c r="CP58" s="15"/>
      <c r="CQ58" s="15"/>
      <c r="CR58" s="15"/>
      <c r="CS58" s="15"/>
      <c r="CT58" s="15"/>
      <c r="CU58" s="15"/>
      <c r="CV58" s="15"/>
      <c r="CW58" s="15"/>
      <c r="CX58" s="15"/>
      <c r="CY58" s="15"/>
      <c r="CZ58" s="15"/>
      <c r="DA58" s="15"/>
      <c r="DB58" s="15"/>
      <c r="DC58" s="15"/>
      <c r="DD58" s="15"/>
      <c r="DE58" s="15"/>
      <c r="DF58" s="15"/>
      <c r="DG58" s="15"/>
      <c r="DH58" s="15"/>
      <c r="DI58" s="15"/>
      <c r="DJ58" s="15"/>
      <c r="DK58" s="15"/>
      <c r="DL58" s="15"/>
      <c r="DM58" s="15"/>
      <c r="DN58" s="15"/>
      <c r="DO58" s="15"/>
      <c r="DP58" s="15"/>
      <c r="DQ58" s="15"/>
      <c r="DR58" s="15"/>
      <c r="DS58" s="15"/>
      <c r="DT58" s="15"/>
      <c r="DU58" s="15"/>
      <c r="DV58" s="15"/>
      <c r="DW58" s="15"/>
      <c r="DX58" s="15"/>
      <c r="DY58" s="15"/>
      <c r="DZ58" s="15"/>
      <c r="EA58" s="15"/>
      <c r="EB58" s="15"/>
      <c r="EC58" s="15"/>
      <c r="ED58" s="15"/>
      <c r="EE58" s="15"/>
      <c r="EF58" s="15"/>
      <c r="EG58" s="15"/>
      <c r="EH58" s="15"/>
      <c r="EI58" s="15"/>
      <c r="EJ58" s="15"/>
      <c r="EK58" s="15"/>
      <c r="EL58" s="15"/>
      <c r="EM58" s="15"/>
      <c r="EN58" s="15"/>
      <c r="EO58" s="15"/>
      <c r="EP58" s="15"/>
      <c r="EQ58" s="15"/>
      <c r="ER58" s="15"/>
      <c r="ES58" s="15"/>
      <c r="ET58" s="15"/>
      <c r="EU58" s="15"/>
      <c r="EV58" s="15"/>
      <c r="EW58" s="15"/>
      <c r="EX58" s="15"/>
      <c r="EY58" s="15"/>
      <c r="EZ58" s="15"/>
      <c r="FA58" s="15"/>
      <c r="FB58" s="15"/>
      <c r="FC58" s="15"/>
      <c r="FD58" s="15"/>
      <c r="FE58" s="15"/>
      <c r="FF58" s="15"/>
      <c r="FG58" s="15"/>
      <c r="FH58" s="15"/>
      <c r="FI58" s="15"/>
      <c r="FJ58" s="15"/>
      <c r="FK58" s="15"/>
      <c r="FL58" s="15"/>
      <c r="FM58" s="15"/>
      <c r="FN58" s="15"/>
      <c r="FO58" s="15"/>
      <c r="FP58" s="15"/>
      <c r="FQ58" s="15"/>
      <c r="FR58" s="15"/>
      <c r="FS58" s="15"/>
      <c r="FT58" s="15"/>
      <c r="FU58" s="15"/>
      <c r="FV58" s="15"/>
      <c r="FW58" s="15"/>
      <c r="FX58" s="15"/>
      <c r="FY58" s="15"/>
      <c r="FZ58" s="15"/>
      <c r="GA58" s="15"/>
      <c r="GB58" s="15"/>
      <c r="GC58" s="15"/>
      <c r="GD58" s="15"/>
      <c r="GE58" s="15"/>
      <c r="GF58" s="15"/>
      <c r="GG58" s="15"/>
      <c r="GH58" s="15"/>
      <c r="GI58" s="15"/>
      <c r="GJ58" s="15"/>
      <c r="GK58" s="15"/>
      <c r="GL58" s="15"/>
      <c r="GM58" s="15"/>
      <c r="GN58" s="15"/>
      <c r="GO58" s="15"/>
      <c r="GP58" s="15"/>
      <c r="GQ58" s="15"/>
      <c r="GR58" s="15"/>
      <c r="GS58" s="15"/>
      <c r="GT58" s="15"/>
      <c r="GU58" s="15"/>
      <c r="GV58" s="15"/>
      <c r="GW58" s="15"/>
      <c r="GX58" s="15"/>
      <c r="GY58" s="15"/>
      <c r="GZ58" s="15"/>
      <c r="HA58" s="15"/>
      <c r="HB58" s="15"/>
      <c r="HC58" s="15"/>
      <c r="HD58" s="15"/>
      <c r="HE58" s="15"/>
      <c r="HF58" s="15"/>
      <c r="HG58" s="15"/>
      <c r="HH58" s="15"/>
      <c r="HI58" s="15"/>
      <c r="HJ58" s="15"/>
      <c r="HK58" s="15"/>
      <c r="HL58" s="15"/>
      <c r="HM58" s="15"/>
      <c r="HN58" s="15"/>
      <c r="HO58" s="15"/>
      <c r="HP58" s="15"/>
      <c r="HQ58" s="15"/>
      <c r="HR58" s="15"/>
      <c r="HS58" s="15"/>
      <c r="HT58" s="15"/>
      <c r="HU58" s="15"/>
      <c r="HV58" s="15"/>
      <c r="HW58" s="15"/>
      <c r="HX58" s="15"/>
      <c r="HY58" s="15"/>
      <c r="HZ58" s="15"/>
      <c r="IA58" s="15"/>
      <c r="IB58" s="15"/>
      <c r="IC58" s="15"/>
      <c r="ID58" s="15"/>
      <c r="IE58" s="15"/>
      <c r="IF58" s="15"/>
      <c r="IG58" s="15"/>
    </row>
    <row r="59" spans="2:241" s="16" customFormat="1" ht="22.5" customHeight="1" x14ac:dyDescent="0.3">
      <c r="B59" s="600"/>
      <c r="C59" s="395" t="s">
        <v>149</v>
      </c>
      <c r="D59" s="595"/>
      <c r="E59" s="520" t="s">
        <v>175</v>
      </c>
      <c r="F59" s="618" t="s">
        <v>176</v>
      </c>
      <c r="G59" s="618"/>
      <c r="H59" s="450" t="s">
        <v>20</v>
      </c>
      <c r="I59" s="451">
        <v>0</v>
      </c>
      <c r="J59" s="495">
        <v>5</v>
      </c>
      <c r="K59" s="506">
        <f>ROUNDUP((13500*107%)*105%,-3)</f>
        <v>16000</v>
      </c>
      <c r="L59" s="381">
        <v>0</v>
      </c>
      <c r="M59" s="307">
        <v>0</v>
      </c>
      <c r="N59" s="422">
        <f t="shared" si="2"/>
        <v>1</v>
      </c>
      <c r="O59" s="56">
        <f t="shared" si="4"/>
        <v>80000</v>
      </c>
      <c r="P59" s="425">
        <f t="shared" si="0"/>
        <v>80000</v>
      </c>
      <c r="Q59" s="422">
        <f t="shared" si="3"/>
        <v>1</v>
      </c>
      <c r="R59" s="424" t="str">
        <f t="shared" si="1"/>
        <v>เพิ่มขึ้น</v>
      </c>
      <c r="S59" s="623" t="s">
        <v>643</v>
      </c>
      <c r="T59" s="22"/>
      <c r="U59" s="23"/>
      <c r="V59" s="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5"/>
      <c r="BU59" s="15"/>
      <c r="BV59" s="15"/>
      <c r="BW59" s="15"/>
      <c r="BX59" s="15"/>
      <c r="BY59" s="15"/>
      <c r="BZ59" s="15"/>
      <c r="CA59" s="15"/>
      <c r="CB59" s="15"/>
      <c r="CC59" s="15"/>
      <c r="CD59" s="15"/>
      <c r="CE59" s="15"/>
      <c r="CF59" s="15"/>
      <c r="CG59" s="15"/>
      <c r="CH59" s="15"/>
      <c r="CI59" s="15"/>
      <c r="CJ59" s="15"/>
      <c r="CK59" s="15"/>
      <c r="CL59" s="15"/>
      <c r="CM59" s="15"/>
      <c r="CN59" s="15"/>
      <c r="CO59" s="15"/>
      <c r="CP59" s="15"/>
      <c r="CQ59" s="15"/>
      <c r="CR59" s="15"/>
      <c r="CS59" s="15"/>
      <c r="CT59" s="15"/>
      <c r="CU59" s="15"/>
      <c r="CV59" s="15"/>
      <c r="CW59" s="15"/>
      <c r="CX59" s="15"/>
      <c r="CY59" s="15"/>
      <c r="CZ59" s="15"/>
      <c r="DA59" s="15"/>
      <c r="DB59" s="15"/>
      <c r="DC59" s="15"/>
      <c r="DD59" s="15"/>
      <c r="DE59" s="15"/>
      <c r="DF59" s="15"/>
      <c r="DG59" s="15"/>
      <c r="DH59" s="15"/>
      <c r="DI59" s="15"/>
      <c r="DJ59" s="15"/>
      <c r="DK59" s="15"/>
      <c r="DL59" s="15"/>
      <c r="DM59" s="15"/>
      <c r="DN59" s="15"/>
      <c r="DO59" s="15"/>
      <c r="DP59" s="15"/>
      <c r="DQ59" s="15"/>
      <c r="DR59" s="15"/>
      <c r="DS59" s="15"/>
      <c r="DT59" s="15"/>
      <c r="DU59" s="15"/>
      <c r="DV59" s="15"/>
      <c r="DW59" s="15"/>
      <c r="DX59" s="15"/>
      <c r="DY59" s="15"/>
      <c r="DZ59" s="15"/>
      <c r="EA59" s="15"/>
      <c r="EB59" s="15"/>
      <c r="EC59" s="15"/>
      <c r="ED59" s="15"/>
      <c r="EE59" s="15"/>
      <c r="EF59" s="15"/>
      <c r="EG59" s="15"/>
      <c r="EH59" s="15"/>
      <c r="EI59" s="15"/>
      <c r="EJ59" s="15"/>
      <c r="EK59" s="15"/>
      <c r="EL59" s="15"/>
      <c r="EM59" s="15"/>
      <c r="EN59" s="15"/>
      <c r="EO59" s="15"/>
      <c r="EP59" s="15"/>
      <c r="EQ59" s="15"/>
      <c r="ER59" s="15"/>
      <c r="ES59" s="15"/>
      <c r="ET59" s="15"/>
      <c r="EU59" s="15"/>
      <c r="EV59" s="15"/>
      <c r="EW59" s="15"/>
      <c r="EX59" s="15"/>
      <c r="EY59" s="15"/>
      <c r="EZ59" s="15"/>
      <c r="FA59" s="15"/>
      <c r="FB59" s="15"/>
      <c r="FC59" s="15"/>
      <c r="FD59" s="15"/>
      <c r="FE59" s="15"/>
      <c r="FF59" s="15"/>
      <c r="FG59" s="15"/>
      <c r="FH59" s="15"/>
      <c r="FI59" s="15"/>
      <c r="FJ59" s="15"/>
      <c r="FK59" s="15"/>
      <c r="FL59" s="15"/>
      <c r="FM59" s="15"/>
      <c r="FN59" s="15"/>
      <c r="FO59" s="15"/>
      <c r="FP59" s="15"/>
      <c r="FQ59" s="15"/>
      <c r="FR59" s="15"/>
      <c r="FS59" s="15"/>
      <c r="FT59" s="15"/>
      <c r="FU59" s="15"/>
      <c r="FV59" s="15"/>
      <c r="FW59" s="15"/>
      <c r="FX59" s="15"/>
      <c r="FY59" s="15"/>
      <c r="FZ59" s="15"/>
      <c r="GA59" s="15"/>
      <c r="GB59" s="15"/>
      <c r="GC59" s="15"/>
      <c r="GD59" s="15"/>
      <c r="GE59" s="15"/>
      <c r="GF59" s="15"/>
      <c r="GG59" s="15"/>
      <c r="GH59" s="15"/>
      <c r="GI59" s="15"/>
      <c r="GJ59" s="15"/>
      <c r="GK59" s="15"/>
      <c r="GL59" s="15"/>
      <c r="GM59" s="15"/>
      <c r="GN59" s="15"/>
      <c r="GO59" s="15"/>
      <c r="GP59" s="15"/>
      <c r="GQ59" s="15"/>
      <c r="GR59" s="15"/>
      <c r="GS59" s="15"/>
      <c r="GT59" s="15"/>
      <c r="GU59" s="15"/>
      <c r="GV59" s="15"/>
      <c r="GW59" s="15"/>
      <c r="GX59" s="15"/>
      <c r="GY59" s="15"/>
      <c r="GZ59" s="15"/>
      <c r="HA59" s="15"/>
      <c r="HB59" s="15"/>
      <c r="HC59" s="15"/>
      <c r="HD59" s="15"/>
      <c r="HE59" s="15"/>
      <c r="HF59" s="15"/>
      <c r="HG59" s="15"/>
      <c r="HH59" s="15"/>
      <c r="HI59" s="15"/>
      <c r="HJ59" s="15"/>
      <c r="HK59" s="15"/>
      <c r="HL59" s="15"/>
      <c r="HM59" s="15"/>
      <c r="HN59" s="15"/>
      <c r="HO59" s="15"/>
      <c r="HP59" s="15"/>
      <c r="HQ59" s="15"/>
      <c r="HR59" s="15"/>
      <c r="HS59" s="15"/>
      <c r="HT59" s="15"/>
      <c r="HU59" s="15"/>
      <c r="HV59" s="15"/>
      <c r="HW59" s="15"/>
      <c r="HX59" s="15"/>
      <c r="HY59" s="15"/>
      <c r="HZ59" s="15"/>
      <c r="IA59" s="15"/>
      <c r="IB59" s="15"/>
      <c r="IC59" s="15"/>
      <c r="ID59" s="15"/>
      <c r="IE59" s="15"/>
      <c r="IF59" s="15"/>
      <c r="IG59" s="15"/>
    </row>
    <row r="60" spans="2:241" s="16" customFormat="1" ht="22.5" customHeight="1" x14ac:dyDescent="0.3">
      <c r="B60" s="600"/>
      <c r="C60" s="395" t="s">
        <v>149</v>
      </c>
      <c r="D60" s="10" t="s">
        <v>177</v>
      </c>
      <c r="E60" s="520" t="s">
        <v>178</v>
      </c>
      <c r="F60" s="618" t="s">
        <v>179</v>
      </c>
      <c r="G60" s="618"/>
      <c r="H60" s="450" t="s">
        <v>20</v>
      </c>
      <c r="I60" s="451">
        <v>0</v>
      </c>
      <c r="J60" s="495">
        <v>7</v>
      </c>
      <c r="K60" s="506">
        <f>ROUNDUP((22200*107%)*105%,-3)</f>
        <v>25000</v>
      </c>
      <c r="L60" s="381">
        <v>0</v>
      </c>
      <c r="M60" s="307">
        <v>0</v>
      </c>
      <c r="N60" s="422">
        <f t="shared" si="2"/>
        <v>1</v>
      </c>
      <c r="O60" s="56">
        <f t="shared" si="4"/>
        <v>175000</v>
      </c>
      <c r="P60" s="425">
        <f t="shared" si="0"/>
        <v>175000</v>
      </c>
      <c r="Q60" s="422">
        <f t="shared" si="3"/>
        <v>1</v>
      </c>
      <c r="R60" s="424" t="str">
        <f t="shared" si="1"/>
        <v>เพิ่มขึ้น</v>
      </c>
      <c r="S60" s="624"/>
      <c r="T60" s="22"/>
      <c r="U60" s="23"/>
      <c r="V60" s="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c r="BV60" s="15"/>
      <c r="BW60" s="15"/>
      <c r="BX60" s="15"/>
      <c r="BY60" s="15"/>
      <c r="BZ60" s="15"/>
      <c r="CA60" s="15"/>
      <c r="CB60" s="15"/>
      <c r="CC60" s="15"/>
      <c r="CD60" s="15"/>
      <c r="CE60" s="15"/>
      <c r="CF60" s="15"/>
      <c r="CG60" s="15"/>
      <c r="CH60" s="15"/>
      <c r="CI60" s="15"/>
      <c r="CJ60" s="15"/>
      <c r="CK60" s="15"/>
      <c r="CL60" s="15"/>
      <c r="CM60" s="15"/>
      <c r="CN60" s="15"/>
      <c r="CO60" s="15"/>
      <c r="CP60" s="15"/>
      <c r="CQ60" s="15"/>
      <c r="CR60" s="15"/>
      <c r="CS60" s="15"/>
      <c r="CT60" s="15"/>
      <c r="CU60" s="15"/>
      <c r="CV60" s="15"/>
      <c r="CW60" s="15"/>
      <c r="CX60" s="15"/>
      <c r="CY60" s="15"/>
      <c r="CZ60" s="15"/>
      <c r="DA60" s="15"/>
      <c r="DB60" s="15"/>
      <c r="DC60" s="15"/>
      <c r="DD60" s="15"/>
      <c r="DE60" s="15"/>
      <c r="DF60" s="15"/>
      <c r="DG60" s="15"/>
      <c r="DH60" s="15"/>
      <c r="DI60" s="15"/>
      <c r="DJ60" s="15"/>
      <c r="DK60" s="15"/>
      <c r="DL60" s="15"/>
      <c r="DM60" s="15"/>
      <c r="DN60" s="15"/>
      <c r="DO60" s="15"/>
      <c r="DP60" s="15"/>
      <c r="DQ60" s="15"/>
      <c r="DR60" s="15"/>
      <c r="DS60" s="15"/>
      <c r="DT60" s="15"/>
      <c r="DU60" s="15"/>
      <c r="DV60" s="15"/>
      <c r="DW60" s="15"/>
      <c r="DX60" s="15"/>
      <c r="DY60" s="15"/>
      <c r="DZ60" s="15"/>
      <c r="EA60" s="15"/>
      <c r="EB60" s="15"/>
      <c r="EC60" s="15"/>
      <c r="ED60" s="15"/>
      <c r="EE60" s="15"/>
      <c r="EF60" s="15"/>
      <c r="EG60" s="15"/>
      <c r="EH60" s="15"/>
      <c r="EI60" s="15"/>
      <c r="EJ60" s="15"/>
      <c r="EK60" s="15"/>
      <c r="EL60" s="15"/>
      <c r="EM60" s="15"/>
      <c r="EN60" s="15"/>
      <c r="EO60" s="15"/>
      <c r="EP60" s="15"/>
      <c r="EQ60" s="15"/>
      <c r="ER60" s="15"/>
      <c r="ES60" s="15"/>
      <c r="ET60" s="15"/>
      <c r="EU60" s="15"/>
      <c r="EV60" s="15"/>
      <c r="EW60" s="15"/>
      <c r="EX60" s="15"/>
      <c r="EY60" s="15"/>
      <c r="EZ60" s="15"/>
      <c r="FA60" s="15"/>
      <c r="FB60" s="15"/>
      <c r="FC60" s="15"/>
      <c r="FD60" s="15"/>
      <c r="FE60" s="15"/>
      <c r="FF60" s="15"/>
      <c r="FG60" s="15"/>
      <c r="FH60" s="15"/>
      <c r="FI60" s="15"/>
      <c r="FJ60" s="15"/>
      <c r="FK60" s="15"/>
      <c r="FL60" s="15"/>
      <c r="FM60" s="15"/>
      <c r="FN60" s="15"/>
      <c r="FO60" s="15"/>
      <c r="FP60" s="15"/>
      <c r="FQ60" s="15"/>
      <c r="FR60" s="15"/>
      <c r="FS60" s="15"/>
      <c r="FT60" s="15"/>
      <c r="FU60" s="15"/>
      <c r="FV60" s="15"/>
      <c r="FW60" s="15"/>
      <c r="FX60" s="15"/>
      <c r="FY60" s="15"/>
      <c r="FZ60" s="15"/>
      <c r="GA60" s="15"/>
      <c r="GB60" s="15"/>
      <c r="GC60" s="15"/>
      <c r="GD60" s="15"/>
      <c r="GE60" s="15"/>
      <c r="GF60" s="15"/>
      <c r="GG60" s="15"/>
      <c r="GH60" s="15"/>
      <c r="GI60" s="15"/>
      <c r="GJ60" s="15"/>
      <c r="GK60" s="15"/>
      <c r="GL60" s="15"/>
      <c r="GM60" s="15"/>
      <c r="GN60" s="15"/>
      <c r="GO60" s="15"/>
      <c r="GP60" s="15"/>
      <c r="GQ60" s="15"/>
      <c r="GR60" s="15"/>
      <c r="GS60" s="15"/>
      <c r="GT60" s="15"/>
      <c r="GU60" s="15"/>
      <c r="GV60" s="15"/>
      <c r="GW60" s="15"/>
      <c r="GX60" s="15"/>
      <c r="GY60" s="15"/>
      <c r="GZ60" s="15"/>
      <c r="HA60" s="15"/>
      <c r="HB60" s="15"/>
      <c r="HC60" s="15"/>
      <c r="HD60" s="15"/>
      <c r="HE60" s="15"/>
      <c r="HF60" s="15"/>
      <c r="HG60" s="15"/>
      <c r="HH60" s="15"/>
      <c r="HI60" s="15"/>
      <c r="HJ60" s="15"/>
      <c r="HK60" s="15"/>
      <c r="HL60" s="15"/>
      <c r="HM60" s="15"/>
      <c r="HN60" s="15"/>
      <c r="HO60" s="15"/>
      <c r="HP60" s="15"/>
      <c r="HQ60" s="15"/>
      <c r="HR60" s="15"/>
      <c r="HS60" s="15"/>
      <c r="HT60" s="15"/>
      <c r="HU60" s="15"/>
      <c r="HV60" s="15"/>
      <c r="HW60" s="15"/>
      <c r="HX60" s="15"/>
      <c r="HY60" s="15"/>
      <c r="HZ60" s="15"/>
      <c r="IA60" s="15"/>
      <c r="IB60" s="15"/>
      <c r="IC60" s="15"/>
      <c r="ID60" s="15"/>
      <c r="IE60" s="15"/>
      <c r="IF60" s="15"/>
      <c r="IG60" s="15"/>
    </row>
    <row r="61" spans="2:241" s="16" customFormat="1" ht="22.5" customHeight="1" x14ac:dyDescent="0.3">
      <c r="B61" s="387"/>
      <c r="C61" s="395" t="s">
        <v>180</v>
      </c>
      <c r="D61" s="10">
        <v>1800016041</v>
      </c>
      <c r="E61" s="376" t="s">
        <v>181</v>
      </c>
      <c r="F61" s="665" t="str">
        <f>[23]แบบสำรวจอุปกรณ์!$D$24</f>
        <v>หมวกกันกระสุน (fast helmet)</v>
      </c>
      <c r="G61" s="666"/>
      <c r="H61" s="450" t="s">
        <v>20</v>
      </c>
      <c r="I61" s="451">
        <v>0</v>
      </c>
      <c r="J61" s="495">
        <v>0</v>
      </c>
      <c r="K61" s="496">
        <f>[23]แบบสำรวจอุปกรณ์!$G$24</f>
        <v>10000</v>
      </c>
      <c r="L61" s="381">
        <v>0</v>
      </c>
      <c r="M61" s="307">
        <v>0</v>
      </c>
      <c r="N61" s="416">
        <f t="shared" si="2"/>
        <v>1</v>
      </c>
      <c r="O61" s="56">
        <f t="shared" si="4"/>
        <v>0</v>
      </c>
      <c r="P61" s="307">
        <f t="shared" si="0"/>
        <v>0</v>
      </c>
      <c r="Q61" s="535">
        <f t="shared" si="0"/>
        <v>0</v>
      </c>
      <c r="R61" s="49" t="str">
        <f t="shared" si="1"/>
        <v>--</v>
      </c>
      <c r="S61" s="534"/>
      <c r="T61" s="22"/>
      <c r="U61" s="23"/>
      <c r="V61" s="5"/>
      <c r="W61" s="15"/>
      <c r="X61" s="15"/>
      <c r="Y61" s="15"/>
      <c r="Z61" s="15"/>
      <c r="AA61" s="15"/>
      <c r="AB61" s="15"/>
      <c r="AC61" s="15"/>
      <c r="AD61" s="15"/>
      <c r="AE61" s="15"/>
      <c r="AF61" s="15"/>
      <c r="AG61" s="15"/>
      <c r="AH61" s="15"/>
      <c r="AI61" s="15"/>
      <c r="AJ61" s="15"/>
      <c r="AK61" s="15"/>
      <c r="AL61" s="15"/>
      <c r="AM61" s="15"/>
      <c r="AN61" s="15"/>
      <c r="AO61" s="15"/>
      <c r="AP61" s="15"/>
      <c r="AQ61" s="15"/>
      <c r="AR61" s="15"/>
      <c r="AS61" s="15"/>
      <c r="AT61" s="15"/>
      <c r="AU61" s="15"/>
      <c r="AV61" s="15"/>
      <c r="AW61" s="15"/>
      <c r="AX61" s="15"/>
      <c r="AY61" s="15"/>
      <c r="AZ61" s="15"/>
      <c r="BA61" s="15"/>
      <c r="BB61" s="15"/>
      <c r="BC61" s="15"/>
      <c r="BD61" s="15"/>
      <c r="BE61" s="15"/>
      <c r="BF61" s="15"/>
      <c r="BG61" s="15"/>
      <c r="BH61" s="15"/>
      <c r="BI61" s="15"/>
      <c r="BJ61" s="15"/>
      <c r="BK61" s="15"/>
      <c r="BL61" s="15"/>
      <c r="BM61" s="15"/>
      <c r="BN61" s="15"/>
      <c r="BO61" s="15"/>
      <c r="BP61" s="15"/>
      <c r="BQ61" s="15"/>
      <c r="BR61" s="15"/>
      <c r="BS61" s="15"/>
      <c r="BT61" s="15"/>
      <c r="BU61" s="15"/>
      <c r="BV61" s="15"/>
      <c r="BW61" s="15"/>
      <c r="BX61" s="15"/>
      <c r="BY61" s="15"/>
      <c r="BZ61" s="15"/>
      <c r="CA61" s="15"/>
      <c r="CB61" s="15"/>
      <c r="CC61" s="15"/>
      <c r="CD61" s="15"/>
      <c r="CE61" s="15"/>
      <c r="CF61" s="15"/>
      <c r="CG61" s="15"/>
      <c r="CH61" s="15"/>
      <c r="CI61" s="15"/>
      <c r="CJ61" s="15"/>
      <c r="CK61" s="15"/>
      <c r="CL61" s="15"/>
      <c r="CM61" s="15"/>
      <c r="CN61" s="15"/>
      <c r="CO61" s="15"/>
      <c r="CP61" s="15"/>
      <c r="CQ61" s="15"/>
      <c r="CR61" s="15"/>
      <c r="CS61" s="15"/>
      <c r="CT61" s="15"/>
      <c r="CU61" s="15"/>
      <c r="CV61" s="15"/>
      <c r="CW61" s="15"/>
      <c r="CX61" s="15"/>
      <c r="CY61" s="15"/>
      <c r="CZ61" s="15"/>
      <c r="DA61" s="15"/>
      <c r="DB61" s="15"/>
      <c r="DC61" s="15"/>
      <c r="DD61" s="15"/>
      <c r="DE61" s="15"/>
      <c r="DF61" s="15"/>
      <c r="DG61" s="15"/>
      <c r="DH61" s="15"/>
      <c r="DI61" s="15"/>
      <c r="DJ61" s="15"/>
      <c r="DK61" s="15"/>
      <c r="DL61" s="15"/>
      <c r="DM61" s="15"/>
      <c r="DN61" s="15"/>
      <c r="DO61" s="15"/>
      <c r="DP61" s="15"/>
      <c r="DQ61" s="15"/>
      <c r="DR61" s="15"/>
      <c r="DS61" s="15"/>
      <c r="DT61" s="15"/>
      <c r="DU61" s="15"/>
      <c r="DV61" s="15"/>
      <c r="DW61" s="15"/>
      <c r="DX61" s="15"/>
      <c r="DY61" s="15"/>
      <c r="DZ61" s="15"/>
      <c r="EA61" s="15"/>
      <c r="EB61" s="15"/>
      <c r="EC61" s="15"/>
      <c r="ED61" s="15"/>
      <c r="EE61" s="15"/>
      <c r="EF61" s="15"/>
      <c r="EG61" s="15"/>
      <c r="EH61" s="15"/>
      <c r="EI61" s="15"/>
      <c r="EJ61" s="15"/>
      <c r="EK61" s="15"/>
      <c r="EL61" s="15"/>
      <c r="EM61" s="15"/>
      <c r="EN61" s="15"/>
      <c r="EO61" s="15"/>
      <c r="EP61" s="15"/>
      <c r="EQ61" s="15"/>
      <c r="ER61" s="15"/>
      <c r="ES61" s="15"/>
      <c r="ET61" s="15"/>
      <c r="EU61" s="15"/>
      <c r="EV61" s="15"/>
      <c r="EW61" s="15"/>
      <c r="EX61" s="15"/>
      <c r="EY61" s="15"/>
      <c r="EZ61" s="15"/>
      <c r="FA61" s="15"/>
      <c r="FB61" s="15"/>
      <c r="FC61" s="15"/>
      <c r="FD61" s="15"/>
      <c r="FE61" s="15"/>
      <c r="FF61" s="15"/>
      <c r="FG61" s="15"/>
      <c r="FH61" s="15"/>
      <c r="FI61" s="15"/>
      <c r="FJ61" s="15"/>
      <c r="FK61" s="15"/>
      <c r="FL61" s="15"/>
      <c r="FM61" s="15"/>
      <c r="FN61" s="15"/>
      <c r="FO61" s="15"/>
      <c r="FP61" s="15"/>
      <c r="FQ61" s="15"/>
      <c r="FR61" s="15"/>
      <c r="FS61" s="15"/>
      <c r="FT61" s="15"/>
      <c r="FU61" s="15"/>
      <c r="FV61" s="15"/>
      <c r="FW61" s="15"/>
      <c r="FX61" s="15"/>
      <c r="FY61" s="15"/>
      <c r="FZ61" s="15"/>
      <c r="GA61" s="15"/>
      <c r="GB61" s="15"/>
      <c r="GC61" s="15"/>
      <c r="GD61" s="15"/>
      <c r="GE61" s="15"/>
      <c r="GF61" s="15"/>
      <c r="GG61" s="15"/>
      <c r="GH61" s="15"/>
      <c r="GI61" s="15"/>
      <c r="GJ61" s="15"/>
      <c r="GK61" s="15"/>
      <c r="GL61" s="15"/>
      <c r="GM61" s="15"/>
      <c r="GN61" s="15"/>
      <c r="GO61" s="15"/>
      <c r="GP61" s="15"/>
      <c r="GQ61" s="15"/>
      <c r="GR61" s="15"/>
      <c r="GS61" s="15"/>
      <c r="GT61" s="15"/>
      <c r="GU61" s="15"/>
      <c r="GV61" s="15"/>
      <c r="GW61" s="15"/>
      <c r="GX61" s="15"/>
      <c r="GY61" s="15"/>
      <c r="GZ61" s="15"/>
      <c r="HA61" s="15"/>
      <c r="HB61" s="15"/>
      <c r="HC61" s="15"/>
      <c r="HD61" s="15"/>
      <c r="HE61" s="15"/>
      <c r="HF61" s="15"/>
      <c r="HG61" s="15"/>
      <c r="HH61" s="15"/>
      <c r="HI61" s="15"/>
      <c r="HJ61" s="15"/>
      <c r="HK61" s="15"/>
      <c r="HL61" s="15"/>
      <c r="HM61" s="15"/>
      <c r="HN61" s="15"/>
      <c r="HO61" s="15"/>
      <c r="HP61" s="15"/>
      <c r="HQ61" s="15"/>
      <c r="HR61" s="15"/>
      <c r="HS61" s="15"/>
      <c r="HT61" s="15"/>
      <c r="HU61" s="15"/>
      <c r="HV61" s="15"/>
      <c r="HW61" s="15"/>
      <c r="HX61" s="15"/>
      <c r="HY61" s="15"/>
      <c r="HZ61" s="15"/>
      <c r="IA61" s="15"/>
      <c r="IB61" s="15"/>
      <c r="IC61" s="15"/>
      <c r="ID61" s="15"/>
      <c r="IE61" s="15"/>
      <c r="IF61" s="15"/>
      <c r="IG61" s="15"/>
    </row>
    <row r="62" spans="2:241" s="16" customFormat="1" ht="27.5" customHeight="1" x14ac:dyDescent="0.3">
      <c r="B62" s="600"/>
      <c r="C62" s="395" t="s">
        <v>149</v>
      </c>
      <c r="D62" s="10">
        <v>1800016041</v>
      </c>
      <c r="E62" s="520" t="s">
        <v>182</v>
      </c>
      <c r="F62" s="654" t="s">
        <v>183</v>
      </c>
      <c r="G62" s="654"/>
      <c r="H62" s="450" t="s">
        <v>20</v>
      </c>
      <c r="I62" s="451">
        <v>0</v>
      </c>
      <c r="J62" s="495">
        <v>7</v>
      </c>
      <c r="K62" s="506">
        <f>2156000/7</f>
        <v>308000</v>
      </c>
      <c r="L62" s="381">
        <v>0</v>
      </c>
      <c r="M62" s="307">
        <v>0</v>
      </c>
      <c r="N62" s="422">
        <f t="shared" si="2"/>
        <v>1</v>
      </c>
      <c r="O62" s="56">
        <f t="shared" si="4"/>
        <v>2156000</v>
      </c>
      <c r="P62" s="425">
        <f t="shared" si="0"/>
        <v>2156000</v>
      </c>
      <c r="Q62" s="422">
        <f t="shared" si="3"/>
        <v>1</v>
      </c>
      <c r="R62" s="424" t="str">
        <f t="shared" si="1"/>
        <v>เพิ่มขึ้น</v>
      </c>
      <c r="S62" s="433" t="s">
        <v>644</v>
      </c>
      <c r="T62" s="22"/>
      <c r="U62" s="23"/>
      <c r="V62" s="5"/>
      <c r="W62" s="15"/>
      <c r="X62" s="15"/>
      <c r="Y62" s="15"/>
      <c r="Z62" s="15"/>
      <c r="AA62" s="15"/>
      <c r="AB62" s="15"/>
      <c r="AC62" s="15"/>
      <c r="AD62" s="15"/>
      <c r="AE62" s="15"/>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5"/>
      <c r="CF62" s="15"/>
      <c r="CG62" s="15"/>
      <c r="CH62" s="15"/>
      <c r="CI62" s="15"/>
      <c r="CJ62" s="15"/>
      <c r="CK62" s="15"/>
      <c r="CL62" s="15"/>
      <c r="CM62" s="15"/>
      <c r="CN62" s="15"/>
      <c r="CO62" s="15"/>
      <c r="CP62" s="15"/>
      <c r="CQ62" s="15"/>
      <c r="CR62" s="15"/>
      <c r="CS62" s="15"/>
      <c r="CT62" s="15"/>
      <c r="CU62" s="15"/>
      <c r="CV62" s="15"/>
      <c r="CW62" s="15"/>
      <c r="CX62" s="15"/>
      <c r="CY62" s="15"/>
      <c r="CZ62" s="15"/>
      <c r="DA62" s="15"/>
      <c r="DB62" s="15"/>
      <c r="DC62" s="15"/>
      <c r="DD62" s="15"/>
      <c r="DE62" s="15"/>
      <c r="DF62" s="15"/>
      <c r="DG62" s="15"/>
      <c r="DH62" s="15"/>
      <c r="DI62" s="15"/>
      <c r="DJ62" s="15"/>
      <c r="DK62" s="15"/>
      <c r="DL62" s="15"/>
      <c r="DM62" s="15"/>
      <c r="DN62" s="15"/>
      <c r="DO62" s="15"/>
      <c r="DP62" s="15"/>
      <c r="DQ62" s="15"/>
      <c r="DR62" s="15"/>
      <c r="DS62" s="15"/>
      <c r="DT62" s="15"/>
      <c r="DU62" s="15"/>
      <c r="DV62" s="15"/>
      <c r="DW62" s="15"/>
      <c r="DX62" s="15"/>
      <c r="DY62" s="15"/>
      <c r="DZ62" s="15"/>
      <c r="EA62" s="15"/>
      <c r="EB62" s="15"/>
      <c r="EC62" s="15"/>
      <c r="ED62" s="15"/>
      <c r="EE62" s="15"/>
      <c r="EF62" s="15"/>
      <c r="EG62" s="15"/>
      <c r="EH62" s="15"/>
      <c r="EI62" s="15"/>
      <c r="EJ62" s="15"/>
      <c r="EK62" s="15"/>
      <c r="EL62" s="15"/>
      <c r="EM62" s="15"/>
      <c r="EN62" s="15"/>
      <c r="EO62" s="15"/>
      <c r="EP62" s="15"/>
      <c r="EQ62" s="15"/>
      <c r="ER62" s="15"/>
      <c r="ES62" s="15"/>
      <c r="ET62" s="15"/>
      <c r="EU62" s="15"/>
      <c r="EV62" s="15"/>
      <c r="EW62" s="15"/>
      <c r="EX62" s="15"/>
      <c r="EY62" s="15"/>
      <c r="EZ62" s="15"/>
      <c r="FA62" s="15"/>
      <c r="FB62" s="15"/>
      <c r="FC62" s="15"/>
      <c r="FD62" s="15"/>
      <c r="FE62" s="15"/>
      <c r="FF62" s="15"/>
      <c r="FG62" s="15"/>
      <c r="FH62" s="15"/>
      <c r="FI62" s="15"/>
      <c r="FJ62" s="15"/>
      <c r="FK62" s="15"/>
      <c r="FL62" s="15"/>
      <c r="FM62" s="15"/>
      <c r="FN62" s="15"/>
      <c r="FO62" s="15"/>
      <c r="FP62" s="15"/>
      <c r="FQ62" s="15"/>
      <c r="FR62" s="15"/>
      <c r="FS62" s="15"/>
      <c r="FT62" s="15"/>
      <c r="FU62" s="15"/>
      <c r="FV62" s="15"/>
      <c r="FW62" s="15"/>
      <c r="FX62" s="15"/>
      <c r="FY62" s="15"/>
      <c r="FZ62" s="15"/>
      <c r="GA62" s="15"/>
      <c r="GB62" s="15"/>
      <c r="GC62" s="15"/>
      <c r="GD62" s="15"/>
      <c r="GE62" s="15"/>
      <c r="GF62" s="15"/>
      <c r="GG62" s="15"/>
      <c r="GH62" s="15"/>
      <c r="GI62" s="15"/>
      <c r="GJ62" s="15"/>
      <c r="GK62" s="15"/>
      <c r="GL62" s="15"/>
      <c r="GM62" s="15"/>
      <c r="GN62" s="15"/>
      <c r="GO62" s="15"/>
      <c r="GP62" s="15"/>
      <c r="GQ62" s="15"/>
      <c r="GR62" s="15"/>
      <c r="GS62" s="15"/>
      <c r="GT62" s="15"/>
      <c r="GU62" s="15"/>
      <c r="GV62" s="15"/>
      <c r="GW62" s="15"/>
      <c r="GX62" s="15"/>
      <c r="GY62" s="15"/>
      <c r="GZ62" s="15"/>
      <c r="HA62" s="15"/>
      <c r="HB62" s="15"/>
      <c r="HC62" s="15"/>
      <c r="HD62" s="15"/>
      <c r="HE62" s="15"/>
      <c r="HF62" s="15"/>
      <c r="HG62" s="15"/>
      <c r="HH62" s="15"/>
      <c r="HI62" s="15"/>
      <c r="HJ62" s="15"/>
      <c r="HK62" s="15"/>
      <c r="HL62" s="15"/>
      <c r="HM62" s="15"/>
      <c r="HN62" s="15"/>
      <c r="HO62" s="15"/>
      <c r="HP62" s="15"/>
      <c r="HQ62" s="15"/>
      <c r="HR62" s="15"/>
      <c r="HS62" s="15"/>
      <c r="HT62" s="15"/>
      <c r="HU62" s="15"/>
      <c r="HV62" s="15"/>
      <c r="HW62" s="15"/>
      <c r="HX62" s="15"/>
      <c r="HY62" s="15"/>
      <c r="HZ62" s="15"/>
      <c r="IA62" s="15"/>
      <c r="IB62" s="15"/>
      <c r="IC62" s="15"/>
      <c r="ID62" s="15"/>
      <c r="IE62" s="15"/>
      <c r="IF62" s="15"/>
      <c r="IG62" s="15"/>
    </row>
    <row r="63" spans="2:241" s="16" customFormat="1" ht="29.55" customHeight="1" x14ac:dyDescent="0.3">
      <c r="B63" s="600"/>
      <c r="C63" s="395" t="s">
        <v>149</v>
      </c>
      <c r="D63" s="10" t="s">
        <v>184</v>
      </c>
      <c r="E63" s="520" t="s">
        <v>185</v>
      </c>
      <c r="F63" s="667" t="s">
        <v>186</v>
      </c>
      <c r="G63" s="667"/>
      <c r="H63" s="450" t="s">
        <v>20</v>
      </c>
      <c r="I63" s="451">
        <v>0</v>
      </c>
      <c r="J63" s="495">
        <v>4</v>
      </c>
      <c r="K63" s="506">
        <f>38000/4</f>
        <v>9500</v>
      </c>
      <c r="L63" s="381">
        <v>0</v>
      </c>
      <c r="M63" s="307">
        <v>0</v>
      </c>
      <c r="N63" s="422">
        <f t="shared" si="2"/>
        <v>1</v>
      </c>
      <c r="O63" s="56">
        <f t="shared" si="4"/>
        <v>38000</v>
      </c>
      <c r="P63" s="425">
        <f t="shared" si="0"/>
        <v>38000</v>
      </c>
      <c r="Q63" s="422">
        <f t="shared" si="3"/>
        <v>1</v>
      </c>
      <c r="R63" s="424" t="str">
        <f t="shared" si="1"/>
        <v>เพิ่มขึ้น</v>
      </c>
      <c r="S63" s="433" t="s">
        <v>632</v>
      </c>
      <c r="T63" s="22"/>
      <c r="U63" s="23"/>
      <c r="V63" s="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15"/>
      <c r="BV63" s="15"/>
      <c r="BW63" s="15"/>
      <c r="BX63" s="15"/>
      <c r="BY63" s="15"/>
      <c r="BZ63" s="15"/>
      <c r="CA63" s="15"/>
      <c r="CB63" s="15"/>
      <c r="CC63" s="15"/>
      <c r="CD63" s="15"/>
      <c r="CE63" s="15"/>
      <c r="CF63" s="15"/>
      <c r="CG63" s="15"/>
      <c r="CH63" s="15"/>
      <c r="CI63" s="15"/>
      <c r="CJ63" s="15"/>
      <c r="CK63" s="15"/>
      <c r="CL63" s="15"/>
      <c r="CM63" s="15"/>
      <c r="CN63" s="15"/>
      <c r="CO63" s="15"/>
      <c r="CP63" s="15"/>
      <c r="CQ63" s="15"/>
      <c r="CR63" s="15"/>
      <c r="CS63" s="15"/>
      <c r="CT63" s="15"/>
      <c r="CU63" s="15"/>
      <c r="CV63" s="15"/>
      <c r="CW63" s="15"/>
      <c r="CX63" s="15"/>
      <c r="CY63" s="15"/>
      <c r="CZ63" s="15"/>
      <c r="DA63" s="15"/>
      <c r="DB63" s="15"/>
      <c r="DC63" s="15"/>
      <c r="DD63" s="15"/>
      <c r="DE63" s="15"/>
      <c r="DF63" s="15"/>
      <c r="DG63" s="15"/>
      <c r="DH63" s="15"/>
      <c r="DI63" s="15"/>
      <c r="DJ63" s="15"/>
      <c r="DK63" s="15"/>
      <c r="DL63" s="15"/>
      <c r="DM63" s="15"/>
      <c r="DN63" s="15"/>
      <c r="DO63" s="15"/>
      <c r="DP63" s="15"/>
      <c r="DQ63" s="15"/>
      <c r="DR63" s="15"/>
      <c r="DS63" s="15"/>
      <c r="DT63" s="15"/>
      <c r="DU63" s="15"/>
      <c r="DV63" s="15"/>
      <c r="DW63" s="15"/>
      <c r="DX63" s="15"/>
      <c r="DY63" s="15"/>
      <c r="DZ63" s="15"/>
      <c r="EA63" s="15"/>
      <c r="EB63" s="15"/>
      <c r="EC63" s="15"/>
      <c r="ED63" s="15"/>
      <c r="EE63" s="15"/>
      <c r="EF63" s="15"/>
      <c r="EG63" s="15"/>
      <c r="EH63" s="15"/>
      <c r="EI63" s="15"/>
      <c r="EJ63" s="15"/>
      <c r="EK63" s="15"/>
      <c r="EL63" s="15"/>
      <c r="EM63" s="15"/>
      <c r="EN63" s="15"/>
      <c r="EO63" s="15"/>
      <c r="EP63" s="15"/>
      <c r="EQ63" s="15"/>
      <c r="ER63" s="15"/>
      <c r="ES63" s="15"/>
      <c r="ET63" s="15"/>
      <c r="EU63" s="15"/>
      <c r="EV63" s="15"/>
      <c r="EW63" s="15"/>
      <c r="EX63" s="15"/>
      <c r="EY63" s="15"/>
      <c r="EZ63" s="15"/>
      <c r="FA63" s="15"/>
      <c r="FB63" s="15"/>
      <c r="FC63" s="15"/>
      <c r="FD63" s="15"/>
      <c r="FE63" s="15"/>
      <c r="FF63" s="15"/>
      <c r="FG63" s="15"/>
      <c r="FH63" s="15"/>
      <c r="FI63" s="15"/>
      <c r="FJ63" s="15"/>
      <c r="FK63" s="15"/>
      <c r="FL63" s="15"/>
      <c r="FM63" s="15"/>
      <c r="FN63" s="15"/>
      <c r="FO63" s="15"/>
      <c r="FP63" s="15"/>
      <c r="FQ63" s="15"/>
      <c r="FR63" s="15"/>
      <c r="FS63" s="15"/>
      <c r="FT63" s="15"/>
      <c r="FU63" s="15"/>
      <c r="FV63" s="15"/>
      <c r="FW63" s="15"/>
      <c r="FX63" s="15"/>
      <c r="FY63" s="15"/>
      <c r="FZ63" s="15"/>
      <c r="GA63" s="15"/>
      <c r="GB63" s="15"/>
      <c r="GC63" s="15"/>
      <c r="GD63" s="15"/>
      <c r="GE63" s="15"/>
      <c r="GF63" s="15"/>
      <c r="GG63" s="15"/>
      <c r="GH63" s="15"/>
      <c r="GI63" s="15"/>
      <c r="GJ63" s="15"/>
      <c r="GK63" s="15"/>
      <c r="GL63" s="15"/>
      <c r="GM63" s="15"/>
      <c r="GN63" s="15"/>
      <c r="GO63" s="15"/>
      <c r="GP63" s="15"/>
      <c r="GQ63" s="15"/>
      <c r="GR63" s="15"/>
      <c r="GS63" s="15"/>
      <c r="GT63" s="15"/>
      <c r="GU63" s="15"/>
      <c r="GV63" s="15"/>
      <c r="GW63" s="15"/>
      <c r="GX63" s="15"/>
      <c r="GY63" s="15"/>
      <c r="GZ63" s="15"/>
      <c r="HA63" s="15"/>
      <c r="HB63" s="15"/>
      <c r="HC63" s="15"/>
      <c r="HD63" s="15"/>
      <c r="HE63" s="15"/>
      <c r="HF63" s="15"/>
      <c r="HG63" s="15"/>
      <c r="HH63" s="15"/>
      <c r="HI63" s="15"/>
      <c r="HJ63" s="15"/>
      <c r="HK63" s="15"/>
      <c r="HL63" s="15"/>
      <c r="HM63" s="15"/>
      <c r="HN63" s="15"/>
      <c r="HO63" s="15"/>
      <c r="HP63" s="15"/>
      <c r="HQ63" s="15"/>
      <c r="HR63" s="15"/>
      <c r="HS63" s="15"/>
      <c r="HT63" s="15"/>
      <c r="HU63" s="15"/>
      <c r="HV63" s="15"/>
      <c r="HW63" s="15"/>
      <c r="HX63" s="15"/>
      <c r="HY63" s="15"/>
      <c r="HZ63" s="15"/>
      <c r="IA63" s="15"/>
      <c r="IB63" s="15"/>
      <c r="IC63" s="15"/>
      <c r="ID63" s="15"/>
      <c r="IE63" s="15"/>
      <c r="IF63" s="15"/>
      <c r="IG63" s="15"/>
    </row>
    <row r="64" spans="2:241" s="16" customFormat="1" ht="31.5" customHeight="1" x14ac:dyDescent="0.3">
      <c r="B64" s="600"/>
      <c r="C64" s="395" t="s">
        <v>149</v>
      </c>
      <c r="D64" s="10">
        <v>1800011014</v>
      </c>
      <c r="E64" s="520" t="s">
        <v>187</v>
      </c>
      <c r="F64" s="598" t="s">
        <v>188</v>
      </c>
      <c r="G64" s="599"/>
      <c r="H64" s="450" t="s">
        <v>20</v>
      </c>
      <c r="I64" s="451">
        <v>0</v>
      </c>
      <c r="J64" s="495">
        <v>4</v>
      </c>
      <c r="K64" s="506">
        <v>60000</v>
      </c>
      <c r="L64" s="381">
        <v>0</v>
      </c>
      <c r="M64" s="307">
        <v>0</v>
      </c>
      <c r="N64" s="422">
        <f t="shared" si="2"/>
        <v>1</v>
      </c>
      <c r="O64" s="56">
        <f t="shared" si="4"/>
        <v>240000</v>
      </c>
      <c r="P64" s="425">
        <f t="shared" si="0"/>
        <v>240000</v>
      </c>
      <c r="Q64" s="422">
        <f t="shared" si="3"/>
        <v>1</v>
      </c>
      <c r="R64" s="424" t="str">
        <f t="shared" si="1"/>
        <v>เพิ่มขึ้น</v>
      </c>
      <c r="S64" s="433" t="s">
        <v>630</v>
      </c>
      <c r="T64" s="22"/>
      <c r="U64" s="23"/>
      <c r="V64" s="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15"/>
      <c r="BA64" s="15"/>
      <c r="BB64" s="15"/>
      <c r="BC64" s="15"/>
      <c r="BD64" s="15"/>
      <c r="BE64" s="15"/>
      <c r="BF64" s="15"/>
      <c r="BG64" s="15"/>
      <c r="BH64" s="15"/>
      <c r="BI64" s="15"/>
      <c r="BJ64" s="15"/>
      <c r="BK64" s="15"/>
      <c r="BL64" s="15"/>
      <c r="BM64" s="15"/>
      <c r="BN64" s="15"/>
      <c r="BO64" s="15"/>
      <c r="BP64" s="15"/>
      <c r="BQ64" s="15"/>
      <c r="BR64" s="15"/>
      <c r="BS64" s="15"/>
      <c r="BT64" s="15"/>
      <c r="BU64" s="15"/>
      <c r="BV64" s="15"/>
      <c r="BW64" s="15"/>
      <c r="BX64" s="15"/>
      <c r="BY64" s="15"/>
      <c r="BZ64" s="15"/>
      <c r="CA64" s="15"/>
      <c r="CB64" s="15"/>
      <c r="CC64" s="15"/>
      <c r="CD64" s="15"/>
      <c r="CE64" s="15"/>
      <c r="CF64" s="15"/>
      <c r="CG64" s="15"/>
      <c r="CH64" s="15"/>
      <c r="CI64" s="15"/>
      <c r="CJ64" s="15"/>
      <c r="CK64" s="15"/>
      <c r="CL64" s="15"/>
      <c r="CM64" s="15"/>
      <c r="CN64" s="15"/>
      <c r="CO64" s="15"/>
      <c r="CP64" s="15"/>
      <c r="CQ64" s="15"/>
      <c r="CR64" s="15"/>
      <c r="CS64" s="15"/>
      <c r="CT64" s="15"/>
      <c r="CU64" s="15"/>
      <c r="CV64" s="15"/>
      <c r="CW64" s="15"/>
      <c r="CX64" s="15"/>
      <c r="CY64" s="15"/>
      <c r="CZ64" s="15"/>
      <c r="DA64" s="15"/>
      <c r="DB64" s="15"/>
      <c r="DC64" s="15"/>
      <c r="DD64" s="15"/>
      <c r="DE64" s="15"/>
      <c r="DF64" s="15"/>
      <c r="DG64" s="15"/>
      <c r="DH64" s="15"/>
      <c r="DI64" s="15"/>
      <c r="DJ64" s="15"/>
      <c r="DK64" s="15"/>
      <c r="DL64" s="15"/>
      <c r="DM64" s="15"/>
      <c r="DN64" s="15"/>
      <c r="DO64" s="15"/>
      <c r="DP64" s="15"/>
      <c r="DQ64" s="15"/>
      <c r="DR64" s="15"/>
      <c r="DS64" s="15"/>
      <c r="DT64" s="15"/>
      <c r="DU64" s="15"/>
      <c r="DV64" s="15"/>
      <c r="DW64" s="15"/>
      <c r="DX64" s="15"/>
      <c r="DY64" s="15"/>
      <c r="DZ64" s="15"/>
      <c r="EA64" s="15"/>
      <c r="EB64" s="15"/>
      <c r="EC64" s="15"/>
      <c r="ED64" s="15"/>
      <c r="EE64" s="15"/>
      <c r="EF64" s="15"/>
      <c r="EG64" s="15"/>
      <c r="EH64" s="15"/>
      <c r="EI64" s="15"/>
      <c r="EJ64" s="15"/>
      <c r="EK64" s="15"/>
      <c r="EL64" s="15"/>
      <c r="EM64" s="15"/>
      <c r="EN64" s="15"/>
      <c r="EO64" s="15"/>
      <c r="EP64" s="15"/>
      <c r="EQ64" s="15"/>
      <c r="ER64" s="15"/>
      <c r="ES64" s="15"/>
      <c r="ET64" s="15"/>
      <c r="EU64" s="15"/>
      <c r="EV64" s="15"/>
      <c r="EW64" s="15"/>
      <c r="EX64" s="15"/>
      <c r="EY64" s="15"/>
      <c r="EZ64" s="15"/>
      <c r="FA64" s="15"/>
      <c r="FB64" s="15"/>
      <c r="FC64" s="15"/>
      <c r="FD64" s="15"/>
      <c r="FE64" s="15"/>
      <c r="FF64" s="15"/>
      <c r="FG64" s="15"/>
      <c r="FH64" s="15"/>
      <c r="FI64" s="15"/>
      <c r="FJ64" s="15"/>
      <c r="FK64" s="15"/>
      <c r="FL64" s="15"/>
      <c r="FM64" s="15"/>
      <c r="FN64" s="15"/>
      <c r="FO64" s="15"/>
      <c r="FP64" s="15"/>
      <c r="FQ64" s="15"/>
      <c r="FR64" s="15"/>
      <c r="FS64" s="15"/>
      <c r="FT64" s="15"/>
      <c r="FU64" s="15"/>
      <c r="FV64" s="15"/>
      <c r="FW64" s="15"/>
      <c r="FX64" s="15"/>
      <c r="FY64" s="15"/>
      <c r="FZ64" s="15"/>
      <c r="GA64" s="15"/>
      <c r="GB64" s="15"/>
      <c r="GC64" s="15"/>
      <c r="GD64" s="15"/>
      <c r="GE64" s="15"/>
      <c r="GF64" s="15"/>
      <c r="GG64" s="15"/>
      <c r="GH64" s="15"/>
      <c r="GI64" s="15"/>
      <c r="GJ64" s="15"/>
      <c r="GK64" s="15"/>
      <c r="GL64" s="15"/>
      <c r="GM64" s="15"/>
      <c r="GN64" s="15"/>
      <c r="GO64" s="15"/>
      <c r="GP64" s="15"/>
      <c r="GQ64" s="15"/>
      <c r="GR64" s="15"/>
      <c r="GS64" s="15"/>
      <c r="GT64" s="15"/>
      <c r="GU64" s="15"/>
      <c r="GV64" s="15"/>
      <c r="GW64" s="15"/>
      <c r="GX64" s="15"/>
      <c r="GY64" s="15"/>
      <c r="GZ64" s="15"/>
      <c r="HA64" s="15"/>
      <c r="HB64" s="15"/>
      <c r="HC64" s="15"/>
      <c r="HD64" s="15"/>
      <c r="HE64" s="15"/>
      <c r="HF64" s="15"/>
      <c r="HG64" s="15"/>
      <c r="HH64" s="15"/>
      <c r="HI64" s="15"/>
      <c r="HJ64" s="15"/>
      <c r="HK64" s="15"/>
      <c r="HL64" s="15"/>
      <c r="HM64" s="15"/>
      <c r="HN64" s="15"/>
      <c r="HO64" s="15"/>
      <c r="HP64" s="15"/>
      <c r="HQ64" s="15"/>
      <c r="HR64" s="15"/>
      <c r="HS64" s="15"/>
      <c r="HT64" s="15"/>
      <c r="HU64" s="15"/>
      <c r="HV64" s="15"/>
      <c r="HW64" s="15"/>
      <c r="HX64" s="15"/>
      <c r="HY64" s="15"/>
      <c r="HZ64" s="15"/>
      <c r="IA64" s="15"/>
      <c r="IB64" s="15"/>
      <c r="IC64" s="15"/>
      <c r="ID64" s="15"/>
      <c r="IE64" s="15"/>
      <c r="IF64" s="15"/>
      <c r="IG64" s="15"/>
    </row>
    <row r="65" spans="2:241" s="16" customFormat="1" ht="22.5" customHeight="1" x14ac:dyDescent="0.3">
      <c r="B65" s="600"/>
      <c r="C65" s="395" t="s">
        <v>180</v>
      </c>
      <c r="D65" s="10" t="s">
        <v>189</v>
      </c>
      <c r="E65" s="520" t="s">
        <v>190</v>
      </c>
      <c r="F65" s="598" t="s">
        <v>191</v>
      </c>
      <c r="G65" s="599"/>
      <c r="H65" s="453">
        <v>1</v>
      </c>
      <c r="I65" s="454">
        <f>'สรุปใช้งบ 31กค'!H36</f>
        <v>38000</v>
      </c>
      <c r="J65" s="497">
        <v>30</v>
      </c>
      <c r="K65" s="516">
        <f>'[24]ราคาครุภัณฑ์ IT ปี 70'!$E$7</f>
        <v>62400</v>
      </c>
      <c r="L65" s="381">
        <f>'สรุปใช้งบ 31กค'!H36</f>
        <v>38000</v>
      </c>
      <c r="M65" s="307">
        <f>L65</f>
        <v>38000</v>
      </c>
      <c r="N65" s="422">
        <f t="shared" si="2"/>
        <v>0</v>
      </c>
      <c r="O65" s="56">
        <f t="shared" si="4"/>
        <v>1872000</v>
      </c>
      <c r="P65" s="425">
        <f t="shared" si="0"/>
        <v>1834000</v>
      </c>
      <c r="Q65" s="422">
        <f t="shared" si="3"/>
        <v>48.263157894736842</v>
      </c>
      <c r="R65" s="424" t="str">
        <f t="shared" si="1"/>
        <v>เพิ่มขึ้น</v>
      </c>
      <c r="S65" s="439" t="s">
        <v>631</v>
      </c>
      <c r="T65" s="24"/>
      <c r="U65" s="23"/>
      <c r="V65" s="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15"/>
      <c r="BA65" s="15"/>
      <c r="BB65" s="15"/>
      <c r="BC65" s="15"/>
      <c r="BD65" s="15"/>
      <c r="BE65" s="15"/>
      <c r="BF65" s="15"/>
      <c r="BG65" s="15"/>
      <c r="BH65" s="15"/>
      <c r="BI65" s="15"/>
      <c r="BJ65" s="15"/>
      <c r="BK65" s="15"/>
      <c r="BL65" s="15"/>
      <c r="BM65" s="15"/>
      <c r="BN65" s="15"/>
      <c r="BO65" s="15"/>
      <c r="BP65" s="15"/>
      <c r="BQ65" s="15"/>
      <c r="BR65" s="15"/>
      <c r="BS65" s="15"/>
      <c r="BT65" s="15"/>
      <c r="BU65" s="15"/>
      <c r="BV65" s="15"/>
      <c r="BW65" s="15"/>
      <c r="BX65" s="15"/>
      <c r="BY65" s="15"/>
      <c r="BZ65" s="15"/>
      <c r="CA65" s="15"/>
      <c r="CB65" s="15"/>
      <c r="CC65" s="15"/>
      <c r="CD65" s="15"/>
      <c r="CE65" s="15"/>
      <c r="CF65" s="15"/>
      <c r="CG65" s="15"/>
      <c r="CH65" s="15"/>
      <c r="CI65" s="15"/>
      <c r="CJ65" s="15"/>
      <c r="CK65" s="15"/>
      <c r="CL65" s="15"/>
      <c r="CM65" s="15"/>
      <c r="CN65" s="15"/>
      <c r="CO65" s="15"/>
      <c r="CP65" s="15"/>
      <c r="CQ65" s="15"/>
      <c r="CR65" s="15"/>
      <c r="CS65" s="15"/>
      <c r="CT65" s="15"/>
      <c r="CU65" s="15"/>
      <c r="CV65" s="15"/>
      <c r="CW65" s="15"/>
      <c r="CX65" s="15"/>
      <c r="CY65" s="15"/>
      <c r="CZ65" s="15"/>
      <c r="DA65" s="15"/>
      <c r="DB65" s="15"/>
      <c r="DC65" s="15"/>
      <c r="DD65" s="15"/>
      <c r="DE65" s="15"/>
      <c r="DF65" s="15"/>
      <c r="DG65" s="15"/>
      <c r="DH65" s="15"/>
      <c r="DI65" s="15"/>
      <c r="DJ65" s="15"/>
      <c r="DK65" s="15"/>
      <c r="DL65" s="15"/>
      <c r="DM65" s="15"/>
      <c r="DN65" s="15"/>
      <c r="DO65" s="15"/>
      <c r="DP65" s="15"/>
      <c r="DQ65" s="15"/>
      <c r="DR65" s="15"/>
      <c r="DS65" s="15"/>
      <c r="DT65" s="15"/>
      <c r="DU65" s="15"/>
      <c r="DV65" s="15"/>
      <c r="DW65" s="15"/>
      <c r="DX65" s="15"/>
      <c r="DY65" s="15"/>
      <c r="DZ65" s="15"/>
      <c r="EA65" s="15"/>
      <c r="EB65" s="15"/>
      <c r="EC65" s="15"/>
      <c r="ED65" s="15"/>
      <c r="EE65" s="15"/>
      <c r="EF65" s="15"/>
      <c r="EG65" s="15"/>
      <c r="EH65" s="15"/>
      <c r="EI65" s="15"/>
      <c r="EJ65" s="15"/>
      <c r="EK65" s="15"/>
      <c r="EL65" s="15"/>
      <c r="EM65" s="15"/>
      <c r="EN65" s="15"/>
      <c r="EO65" s="15"/>
      <c r="EP65" s="15"/>
      <c r="EQ65" s="15"/>
      <c r="ER65" s="15"/>
      <c r="ES65" s="15"/>
      <c r="ET65" s="15"/>
      <c r="EU65" s="15"/>
      <c r="EV65" s="15"/>
      <c r="EW65" s="15"/>
      <c r="EX65" s="15"/>
      <c r="EY65" s="15"/>
      <c r="EZ65" s="15"/>
      <c r="FA65" s="15"/>
      <c r="FB65" s="15"/>
      <c r="FC65" s="15"/>
      <c r="FD65" s="15"/>
      <c r="FE65" s="15"/>
      <c r="FF65" s="15"/>
      <c r="FG65" s="15"/>
      <c r="FH65" s="15"/>
      <c r="FI65" s="15"/>
      <c r="FJ65" s="15"/>
      <c r="FK65" s="15"/>
      <c r="FL65" s="15"/>
      <c r="FM65" s="15"/>
      <c r="FN65" s="15"/>
      <c r="FO65" s="15"/>
      <c r="FP65" s="15"/>
      <c r="FQ65" s="15"/>
      <c r="FR65" s="15"/>
      <c r="FS65" s="15"/>
      <c r="FT65" s="15"/>
      <c r="FU65" s="15"/>
      <c r="FV65" s="15"/>
      <c r="FW65" s="15"/>
      <c r="FX65" s="15"/>
      <c r="FY65" s="15"/>
      <c r="FZ65" s="15"/>
      <c r="GA65" s="15"/>
      <c r="GB65" s="15"/>
      <c r="GC65" s="15"/>
      <c r="GD65" s="15"/>
      <c r="GE65" s="15"/>
      <c r="GF65" s="15"/>
      <c r="GG65" s="15"/>
      <c r="GH65" s="15"/>
      <c r="GI65" s="15"/>
      <c r="GJ65" s="15"/>
      <c r="GK65" s="15"/>
      <c r="GL65" s="15"/>
      <c r="GM65" s="15"/>
      <c r="GN65" s="15"/>
      <c r="GO65" s="15"/>
      <c r="GP65" s="15"/>
      <c r="GQ65" s="15"/>
      <c r="GR65" s="15"/>
      <c r="GS65" s="15"/>
      <c r="GT65" s="15"/>
      <c r="GU65" s="15"/>
      <c r="GV65" s="15"/>
      <c r="GW65" s="15"/>
      <c r="GX65" s="15"/>
      <c r="GY65" s="15"/>
      <c r="GZ65" s="15"/>
      <c r="HA65" s="15"/>
      <c r="HB65" s="15"/>
      <c r="HC65" s="15"/>
      <c r="HD65" s="15"/>
      <c r="HE65" s="15"/>
      <c r="HF65" s="15"/>
      <c r="HG65" s="15"/>
      <c r="HH65" s="15"/>
      <c r="HI65" s="15"/>
      <c r="HJ65" s="15"/>
      <c r="HK65" s="15"/>
      <c r="HL65" s="15"/>
      <c r="HM65" s="15"/>
      <c r="HN65" s="15"/>
      <c r="HO65" s="15"/>
      <c r="HP65" s="15"/>
      <c r="HQ65" s="15"/>
      <c r="HR65" s="15"/>
      <c r="HS65" s="15"/>
      <c r="HT65" s="15"/>
      <c r="HU65" s="15"/>
      <c r="HV65" s="15"/>
      <c r="HW65" s="15"/>
      <c r="HX65" s="15"/>
      <c r="HY65" s="15"/>
      <c r="HZ65" s="15"/>
      <c r="IA65" s="15"/>
      <c r="IB65" s="15"/>
      <c r="IC65" s="15"/>
      <c r="ID65" s="15"/>
      <c r="IE65" s="15"/>
      <c r="IF65" s="15"/>
      <c r="IG65" s="15"/>
    </row>
    <row r="66" spans="2:241" s="16" customFormat="1" ht="22.5" customHeight="1" x14ac:dyDescent="0.3">
      <c r="B66" s="430" t="s">
        <v>192</v>
      </c>
      <c r="C66" s="395"/>
      <c r="D66" s="10" t="s">
        <v>193</v>
      </c>
      <c r="E66" s="520" t="s">
        <v>194</v>
      </c>
      <c r="F66" s="662" t="s">
        <v>195</v>
      </c>
      <c r="G66" s="663"/>
      <c r="H66" s="450" t="s">
        <v>20</v>
      </c>
      <c r="I66" s="451">
        <v>0</v>
      </c>
      <c r="J66" s="495">
        <f>[23]แบบสำรวจอุปกรณ์!$AB$13</f>
        <v>1</v>
      </c>
      <c r="K66" s="506">
        <v>160700</v>
      </c>
      <c r="L66" s="381">
        <v>0</v>
      </c>
      <c r="M66" s="307">
        <v>0</v>
      </c>
      <c r="N66" s="422">
        <f t="shared" si="2"/>
        <v>1</v>
      </c>
      <c r="O66" s="56">
        <f t="shared" si="4"/>
        <v>160700</v>
      </c>
      <c r="P66" s="425">
        <f t="shared" si="0"/>
        <v>160700</v>
      </c>
      <c r="Q66" s="422">
        <f t="shared" si="3"/>
        <v>1</v>
      </c>
      <c r="R66" s="424" t="str">
        <f t="shared" si="1"/>
        <v>เพิ่มขึ้น</v>
      </c>
      <c r="S66" s="439" t="s">
        <v>196</v>
      </c>
      <c r="T66" s="22"/>
      <c r="U66" s="23"/>
      <c r="V66" s="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15"/>
      <c r="BP66" s="15"/>
      <c r="BQ66" s="15"/>
      <c r="BR66" s="15"/>
      <c r="BS66" s="15"/>
      <c r="BT66" s="15"/>
      <c r="BU66" s="15"/>
      <c r="BV66" s="15"/>
      <c r="BW66" s="15"/>
      <c r="BX66" s="15"/>
      <c r="BY66" s="15"/>
      <c r="BZ66" s="15"/>
      <c r="CA66" s="15"/>
      <c r="CB66" s="15"/>
      <c r="CC66" s="15"/>
      <c r="CD66" s="15"/>
      <c r="CE66" s="15"/>
      <c r="CF66" s="15"/>
      <c r="CG66" s="15"/>
      <c r="CH66" s="15"/>
      <c r="CI66" s="15"/>
      <c r="CJ66" s="15"/>
      <c r="CK66" s="15"/>
      <c r="CL66" s="15"/>
      <c r="CM66" s="15"/>
      <c r="CN66" s="15"/>
      <c r="CO66" s="15"/>
      <c r="CP66" s="15"/>
      <c r="CQ66" s="15"/>
      <c r="CR66" s="15"/>
      <c r="CS66" s="15"/>
      <c r="CT66" s="15"/>
      <c r="CU66" s="15"/>
      <c r="CV66" s="15"/>
      <c r="CW66" s="15"/>
      <c r="CX66" s="15"/>
      <c r="CY66" s="15"/>
      <c r="CZ66" s="15"/>
      <c r="DA66" s="15"/>
      <c r="DB66" s="15"/>
      <c r="DC66" s="15"/>
      <c r="DD66" s="15"/>
      <c r="DE66" s="15"/>
      <c r="DF66" s="15"/>
      <c r="DG66" s="15"/>
      <c r="DH66" s="15"/>
      <c r="DI66" s="15"/>
      <c r="DJ66" s="15"/>
      <c r="DK66" s="15"/>
      <c r="DL66" s="15"/>
      <c r="DM66" s="15"/>
      <c r="DN66" s="15"/>
      <c r="DO66" s="15"/>
      <c r="DP66" s="15"/>
      <c r="DQ66" s="15"/>
      <c r="DR66" s="15"/>
      <c r="DS66" s="15"/>
      <c r="DT66" s="15"/>
      <c r="DU66" s="15"/>
      <c r="DV66" s="15"/>
      <c r="DW66" s="15"/>
      <c r="DX66" s="15"/>
      <c r="DY66" s="15"/>
      <c r="DZ66" s="15"/>
      <c r="EA66" s="15"/>
      <c r="EB66" s="15"/>
      <c r="EC66" s="15"/>
      <c r="ED66" s="15"/>
      <c r="EE66" s="15"/>
      <c r="EF66" s="15"/>
      <c r="EG66" s="15"/>
      <c r="EH66" s="15"/>
      <c r="EI66" s="15"/>
      <c r="EJ66" s="15"/>
      <c r="EK66" s="15"/>
      <c r="EL66" s="15"/>
      <c r="EM66" s="15"/>
      <c r="EN66" s="15"/>
      <c r="EO66" s="15"/>
      <c r="EP66" s="15"/>
      <c r="EQ66" s="15"/>
      <c r="ER66" s="15"/>
      <c r="ES66" s="15"/>
      <c r="ET66" s="15"/>
      <c r="EU66" s="15"/>
      <c r="EV66" s="15"/>
      <c r="EW66" s="15"/>
      <c r="EX66" s="15"/>
      <c r="EY66" s="15"/>
      <c r="EZ66" s="15"/>
      <c r="FA66" s="15"/>
      <c r="FB66" s="15"/>
      <c r="FC66" s="15"/>
      <c r="FD66" s="15"/>
      <c r="FE66" s="15"/>
      <c r="FF66" s="15"/>
      <c r="FG66" s="15"/>
      <c r="FH66" s="15"/>
      <c r="FI66" s="15"/>
      <c r="FJ66" s="15"/>
      <c r="FK66" s="15"/>
      <c r="FL66" s="15"/>
      <c r="FM66" s="15"/>
      <c r="FN66" s="15"/>
      <c r="FO66" s="15"/>
      <c r="FP66" s="15"/>
      <c r="FQ66" s="15"/>
      <c r="FR66" s="15"/>
      <c r="FS66" s="15"/>
      <c r="FT66" s="15"/>
      <c r="FU66" s="15"/>
      <c r="FV66" s="15"/>
      <c r="FW66" s="15"/>
      <c r="FX66" s="15"/>
      <c r="FY66" s="15"/>
      <c r="FZ66" s="15"/>
      <c r="GA66" s="15"/>
      <c r="GB66" s="15"/>
      <c r="GC66" s="15"/>
      <c r="GD66" s="15"/>
      <c r="GE66" s="15"/>
      <c r="GF66" s="15"/>
      <c r="GG66" s="15"/>
      <c r="GH66" s="15"/>
      <c r="GI66" s="15"/>
      <c r="GJ66" s="15"/>
      <c r="GK66" s="15"/>
      <c r="GL66" s="15"/>
      <c r="GM66" s="15"/>
      <c r="GN66" s="15"/>
      <c r="GO66" s="15"/>
      <c r="GP66" s="15"/>
      <c r="GQ66" s="15"/>
      <c r="GR66" s="15"/>
      <c r="GS66" s="15"/>
      <c r="GT66" s="15"/>
      <c r="GU66" s="15"/>
      <c r="GV66" s="15"/>
      <c r="GW66" s="15"/>
      <c r="GX66" s="15"/>
      <c r="GY66" s="15"/>
      <c r="GZ66" s="15"/>
      <c r="HA66" s="15"/>
      <c r="HB66" s="15"/>
      <c r="HC66" s="15"/>
      <c r="HD66" s="15"/>
      <c r="HE66" s="15"/>
      <c r="HF66" s="15"/>
      <c r="HG66" s="15"/>
      <c r="HH66" s="15"/>
      <c r="HI66" s="15"/>
      <c r="HJ66" s="15"/>
      <c r="HK66" s="15"/>
      <c r="HL66" s="15"/>
      <c r="HM66" s="15"/>
      <c r="HN66" s="15"/>
      <c r="HO66" s="15"/>
      <c r="HP66" s="15"/>
      <c r="HQ66" s="15"/>
      <c r="HR66" s="15"/>
      <c r="HS66" s="15"/>
      <c r="HT66" s="15"/>
      <c r="HU66" s="15"/>
      <c r="HV66" s="15"/>
      <c r="HW66" s="15"/>
      <c r="HX66" s="15"/>
      <c r="HY66" s="15"/>
      <c r="HZ66" s="15"/>
      <c r="IA66" s="15"/>
      <c r="IB66" s="15"/>
      <c r="IC66" s="15"/>
      <c r="ID66" s="15"/>
      <c r="IE66" s="15"/>
      <c r="IF66" s="15"/>
      <c r="IG66" s="15"/>
    </row>
    <row r="67" spans="2:241" s="16" customFormat="1" ht="22.5" customHeight="1" x14ac:dyDescent="0.3">
      <c r="B67" s="46" t="s">
        <v>197</v>
      </c>
      <c r="C67" s="395" t="s">
        <v>180</v>
      </c>
      <c r="D67" s="492"/>
      <c r="E67" s="520" t="s">
        <v>198</v>
      </c>
      <c r="F67" s="598" t="s">
        <v>199</v>
      </c>
      <c r="G67" s="599"/>
      <c r="H67" s="450" t="s">
        <v>20</v>
      </c>
      <c r="I67" s="451">
        <v>0</v>
      </c>
      <c r="J67" s="495">
        <v>5</v>
      </c>
      <c r="K67" s="506">
        <f>ROUNDUP((363800/5)*105%,-4)</f>
        <v>80000</v>
      </c>
      <c r="L67" s="381">
        <v>0</v>
      </c>
      <c r="M67" s="307">
        <v>0</v>
      </c>
      <c r="N67" s="422">
        <f t="shared" si="2"/>
        <v>1</v>
      </c>
      <c r="O67" s="56">
        <f t="shared" si="4"/>
        <v>400000</v>
      </c>
      <c r="P67" s="425">
        <f t="shared" si="0"/>
        <v>400000</v>
      </c>
      <c r="Q67" s="422">
        <f t="shared" si="3"/>
        <v>1</v>
      </c>
      <c r="R67" s="424" t="str">
        <f t="shared" si="1"/>
        <v>เพิ่มขึ้น</v>
      </c>
      <c r="S67" s="433" t="s">
        <v>200</v>
      </c>
      <c r="T67" s="22"/>
      <c r="U67" s="23"/>
      <c r="V67" s="5"/>
      <c r="W67" s="15"/>
      <c r="X67" s="15"/>
      <c r="Y67" s="15"/>
      <c r="Z67" s="15"/>
      <c r="AA67" s="15"/>
      <c r="AB67" s="15"/>
      <c r="AC67" s="15"/>
      <c r="AD67" s="15"/>
      <c r="AE67" s="15"/>
      <c r="AF67" s="15"/>
      <c r="AG67" s="15"/>
      <c r="AH67" s="15"/>
      <c r="AI67" s="15"/>
      <c r="AJ67" s="15"/>
      <c r="AK67" s="15"/>
      <c r="AL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5"/>
      <c r="BU67" s="15"/>
      <c r="BV67" s="15"/>
      <c r="BW67" s="15"/>
      <c r="BX67" s="15"/>
      <c r="BY67" s="15"/>
      <c r="BZ67" s="15"/>
      <c r="CA67" s="15"/>
      <c r="CB67" s="15"/>
      <c r="CC67" s="15"/>
      <c r="CD67" s="15"/>
      <c r="CE67" s="15"/>
      <c r="CF67" s="15"/>
      <c r="CG67" s="15"/>
      <c r="CH67" s="15"/>
      <c r="CI67" s="15"/>
      <c r="CJ67" s="15"/>
      <c r="CK67" s="15"/>
      <c r="CL67" s="15"/>
      <c r="CM67" s="15"/>
      <c r="CN67" s="15"/>
      <c r="CO67" s="15"/>
      <c r="CP67" s="15"/>
      <c r="CQ67" s="15"/>
      <c r="CR67" s="15"/>
      <c r="CS67" s="15"/>
      <c r="CT67" s="15"/>
      <c r="CU67" s="15"/>
      <c r="CV67" s="15"/>
      <c r="CW67" s="15"/>
      <c r="CX67" s="15"/>
      <c r="CY67" s="15"/>
      <c r="CZ67" s="15"/>
      <c r="DA67" s="15"/>
      <c r="DB67" s="15"/>
      <c r="DC67" s="15"/>
      <c r="DD67" s="15"/>
      <c r="DE67" s="15"/>
      <c r="DF67" s="15"/>
      <c r="DG67" s="15"/>
      <c r="DH67" s="15"/>
      <c r="DI67" s="15"/>
      <c r="DJ67" s="15"/>
      <c r="DK67" s="15"/>
      <c r="DL67" s="15"/>
      <c r="DM67" s="15"/>
      <c r="DN67" s="15"/>
      <c r="DO67" s="15"/>
      <c r="DP67" s="15"/>
      <c r="DQ67" s="15"/>
      <c r="DR67" s="15"/>
      <c r="DS67" s="15"/>
      <c r="DT67" s="15"/>
      <c r="DU67" s="15"/>
      <c r="DV67" s="15"/>
      <c r="DW67" s="15"/>
      <c r="DX67" s="15"/>
      <c r="DY67" s="15"/>
      <c r="DZ67" s="15"/>
      <c r="EA67" s="15"/>
      <c r="EB67" s="15"/>
      <c r="EC67" s="15"/>
      <c r="ED67" s="15"/>
      <c r="EE67" s="15"/>
      <c r="EF67" s="15"/>
      <c r="EG67" s="15"/>
      <c r="EH67" s="15"/>
      <c r="EI67" s="15"/>
      <c r="EJ67" s="15"/>
      <c r="EK67" s="15"/>
      <c r="EL67" s="15"/>
      <c r="EM67" s="15"/>
      <c r="EN67" s="15"/>
      <c r="EO67" s="15"/>
      <c r="EP67" s="15"/>
      <c r="EQ67" s="15"/>
      <c r="ER67" s="15"/>
      <c r="ES67" s="15"/>
      <c r="ET67" s="15"/>
      <c r="EU67" s="15"/>
      <c r="EV67" s="15"/>
      <c r="EW67" s="15"/>
      <c r="EX67" s="15"/>
      <c r="EY67" s="15"/>
      <c r="EZ67" s="15"/>
      <c r="FA67" s="15"/>
      <c r="FB67" s="15"/>
      <c r="FC67" s="15"/>
      <c r="FD67" s="15"/>
      <c r="FE67" s="15"/>
      <c r="FF67" s="15"/>
      <c r="FG67" s="15"/>
      <c r="FH67" s="15"/>
      <c r="FI67" s="15"/>
      <c r="FJ67" s="15"/>
      <c r="FK67" s="15"/>
      <c r="FL67" s="15"/>
      <c r="FM67" s="15"/>
      <c r="FN67" s="15"/>
      <c r="FO67" s="15"/>
      <c r="FP67" s="15"/>
      <c r="FQ67" s="15"/>
      <c r="FR67" s="15"/>
      <c r="FS67" s="15"/>
      <c r="FT67" s="15"/>
      <c r="FU67" s="15"/>
      <c r="FV67" s="15"/>
      <c r="FW67" s="15"/>
      <c r="FX67" s="15"/>
      <c r="FY67" s="15"/>
      <c r="FZ67" s="15"/>
      <c r="GA67" s="15"/>
      <c r="GB67" s="15"/>
      <c r="GC67" s="15"/>
      <c r="GD67" s="15"/>
      <c r="GE67" s="15"/>
      <c r="GF67" s="15"/>
      <c r="GG67" s="15"/>
      <c r="GH67" s="15"/>
      <c r="GI67" s="15"/>
      <c r="GJ67" s="15"/>
      <c r="GK67" s="15"/>
      <c r="GL67" s="15"/>
      <c r="GM67" s="15"/>
      <c r="GN67" s="15"/>
      <c r="GO67" s="15"/>
      <c r="GP67" s="15"/>
      <c r="GQ67" s="15"/>
      <c r="GR67" s="15"/>
      <c r="GS67" s="15"/>
      <c r="GT67" s="15"/>
      <c r="GU67" s="15"/>
      <c r="GV67" s="15"/>
      <c r="GW67" s="15"/>
      <c r="GX67" s="15"/>
      <c r="GY67" s="15"/>
      <c r="GZ67" s="15"/>
      <c r="HA67" s="15"/>
      <c r="HB67" s="15"/>
      <c r="HC67" s="15"/>
      <c r="HD67" s="15"/>
      <c r="HE67" s="15"/>
      <c r="HF67" s="15"/>
      <c r="HG67" s="15"/>
      <c r="HH67" s="15"/>
      <c r="HI67" s="15"/>
      <c r="HJ67" s="15"/>
      <c r="HK67" s="15"/>
      <c r="HL67" s="15"/>
      <c r="HM67" s="15"/>
      <c r="HN67" s="15"/>
      <c r="HO67" s="15"/>
      <c r="HP67" s="15"/>
      <c r="HQ67" s="15"/>
      <c r="HR67" s="15"/>
      <c r="HS67" s="15"/>
      <c r="HT67" s="15"/>
      <c r="HU67" s="15"/>
      <c r="HV67" s="15"/>
      <c r="HW67" s="15"/>
      <c r="HX67" s="15"/>
      <c r="HY67" s="15"/>
      <c r="HZ67" s="15"/>
      <c r="IA67" s="15"/>
      <c r="IB67" s="15"/>
      <c r="IC67" s="15"/>
      <c r="ID67" s="15"/>
      <c r="IE67" s="15"/>
      <c r="IF67" s="15"/>
      <c r="IG67" s="15"/>
    </row>
    <row r="68" spans="2:241" s="16" customFormat="1" ht="22.5" customHeight="1" x14ac:dyDescent="0.3">
      <c r="B68" s="46"/>
      <c r="C68" s="395" t="s">
        <v>180</v>
      </c>
      <c r="D68" s="10">
        <v>1800007024</v>
      </c>
      <c r="E68" s="520" t="s">
        <v>201</v>
      </c>
      <c r="F68" s="662" t="s">
        <v>202</v>
      </c>
      <c r="G68" s="664"/>
      <c r="H68" s="450" t="s">
        <v>20</v>
      </c>
      <c r="I68" s="451">
        <v>0</v>
      </c>
      <c r="J68" s="495">
        <f>[23]แบบสำรวจอุปกรณ์!$AB$19</f>
        <v>6</v>
      </c>
      <c r="K68" s="506">
        <v>13333.333333333334</v>
      </c>
      <c r="L68" s="381">
        <v>0</v>
      </c>
      <c r="M68" s="307">
        <v>0</v>
      </c>
      <c r="N68" s="416">
        <f t="shared" si="2"/>
        <v>1</v>
      </c>
      <c r="O68" s="56">
        <f t="shared" si="4"/>
        <v>80000</v>
      </c>
      <c r="P68" s="425">
        <f t="shared" si="0"/>
        <v>80000</v>
      </c>
      <c r="Q68" s="422">
        <f t="shared" si="3"/>
        <v>1</v>
      </c>
      <c r="R68" s="424" t="str">
        <f t="shared" si="1"/>
        <v>เพิ่มขึ้น</v>
      </c>
      <c r="S68" s="433" t="s">
        <v>203</v>
      </c>
      <c r="T68" s="22"/>
      <c r="U68" s="23"/>
      <c r="V68" s="5"/>
      <c r="W68" s="15"/>
      <c r="X68" s="15"/>
      <c r="Y68" s="15"/>
      <c r="Z68" s="15"/>
      <c r="AA68" s="15"/>
      <c r="AB68" s="15"/>
      <c r="AC68" s="15"/>
      <c r="AD68" s="15"/>
      <c r="AE68" s="15"/>
      <c r="AF68" s="15"/>
      <c r="AG68" s="15"/>
      <c r="AH68" s="15"/>
      <c r="AI68" s="15"/>
      <c r="AJ68" s="15"/>
      <c r="AK68" s="15"/>
      <c r="AL68" s="15"/>
      <c r="AM68" s="15"/>
      <c r="AN68" s="15"/>
      <c r="AO68" s="15"/>
      <c r="AP68" s="15"/>
      <c r="AQ68" s="15"/>
      <c r="AR68" s="15"/>
      <c r="AS68" s="15"/>
      <c r="AT68" s="15"/>
      <c r="AU68" s="15"/>
      <c r="AV68" s="15"/>
      <c r="AW68" s="15"/>
      <c r="AX68" s="15"/>
      <c r="AY68" s="15"/>
      <c r="AZ68" s="15"/>
      <c r="BA68" s="15"/>
      <c r="BB68" s="15"/>
      <c r="BC68" s="15"/>
      <c r="BD68" s="15"/>
      <c r="BE68" s="15"/>
      <c r="BF68" s="15"/>
      <c r="BG68" s="15"/>
      <c r="BH68" s="15"/>
      <c r="BI68" s="15"/>
      <c r="BJ68" s="15"/>
      <c r="BK68" s="15"/>
      <c r="BL68" s="15"/>
      <c r="BM68" s="15"/>
      <c r="BN68" s="15"/>
      <c r="BO68" s="15"/>
      <c r="BP68" s="15"/>
      <c r="BQ68" s="15"/>
      <c r="BR68" s="15"/>
      <c r="BS68" s="15"/>
      <c r="BT68" s="15"/>
      <c r="BU68" s="15"/>
      <c r="BV68" s="15"/>
      <c r="BW68" s="15"/>
      <c r="BX68" s="15"/>
      <c r="BY68" s="15"/>
      <c r="BZ68" s="15"/>
      <c r="CA68" s="15"/>
      <c r="CB68" s="15"/>
      <c r="CC68" s="15"/>
      <c r="CD68" s="15"/>
      <c r="CE68" s="15"/>
      <c r="CF68" s="15"/>
      <c r="CG68" s="15"/>
      <c r="CH68" s="15"/>
      <c r="CI68" s="15"/>
      <c r="CJ68" s="15"/>
      <c r="CK68" s="15"/>
      <c r="CL68" s="15"/>
      <c r="CM68" s="15"/>
      <c r="CN68" s="15"/>
      <c r="CO68" s="15"/>
      <c r="CP68" s="15"/>
      <c r="CQ68" s="15"/>
      <c r="CR68" s="15"/>
      <c r="CS68" s="15"/>
      <c r="CT68" s="15"/>
      <c r="CU68" s="15"/>
      <c r="CV68" s="15"/>
      <c r="CW68" s="15"/>
      <c r="CX68" s="15"/>
      <c r="CY68" s="15"/>
      <c r="CZ68" s="15"/>
      <c r="DA68" s="15"/>
      <c r="DB68" s="15"/>
      <c r="DC68" s="15"/>
      <c r="DD68" s="15"/>
      <c r="DE68" s="15"/>
      <c r="DF68" s="15"/>
      <c r="DG68" s="15"/>
      <c r="DH68" s="15"/>
      <c r="DI68" s="15"/>
      <c r="DJ68" s="15"/>
      <c r="DK68" s="15"/>
      <c r="DL68" s="15"/>
      <c r="DM68" s="15"/>
      <c r="DN68" s="15"/>
      <c r="DO68" s="15"/>
      <c r="DP68" s="15"/>
      <c r="DQ68" s="15"/>
      <c r="DR68" s="15"/>
      <c r="DS68" s="15"/>
      <c r="DT68" s="15"/>
      <c r="DU68" s="15"/>
      <c r="DV68" s="15"/>
      <c r="DW68" s="15"/>
      <c r="DX68" s="15"/>
      <c r="DY68" s="15"/>
      <c r="DZ68" s="15"/>
      <c r="EA68" s="15"/>
      <c r="EB68" s="15"/>
      <c r="EC68" s="15"/>
      <c r="ED68" s="15"/>
      <c r="EE68" s="15"/>
      <c r="EF68" s="15"/>
      <c r="EG68" s="15"/>
      <c r="EH68" s="15"/>
      <c r="EI68" s="15"/>
      <c r="EJ68" s="15"/>
      <c r="EK68" s="15"/>
      <c r="EL68" s="15"/>
      <c r="EM68" s="15"/>
      <c r="EN68" s="15"/>
      <c r="EO68" s="15"/>
      <c r="EP68" s="15"/>
      <c r="EQ68" s="15"/>
      <c r="ER68" s="15"/>
      <c r="ES68" s="15"/>
      <c r="ET68" s="15"/>
      <c r="EU68" s="15"/>
      <c r="EV68" s="15"/>
      <c r="EW68" s="15"/>
      <c r="EX68" s="15"/>
      <c r="EY68" s="15"/>
      <c r="EZ68" s="15"/>
      <c r="FA68" s="15"/>
      <c r="FB68" s="15"/>
      <c r="FC68" s="15"/>
      <c r="FD68" s="15"/>
      <c r="FE68" s="15"/>
      <c r="FF68" s="15"/>
      <c r="FG68" s="15"/>
      <c r="FH68" s="15"/>
      <c r="FI68" s="15"/>
      <c r="FJ68" s="15"/>
      <c r="FK68" s="15"/>
      <c r="FL68" s="15"/>
      <c r="FM68" s="15"/>
      <c r="FN68" s="15"/>
      <c r="FO68" s="15"/>
      <c r="FP68" s="15"/>
      <c r="FQ68" s="15"/>
      <c r="FR68" s="15"/>
      <c r="FS68" s="15"/>
      <c r="FT68" s="15"/>
      <c r="FU68" s="15"/>
      <c r="FV68" s="15"/>
      <c r="FW68" s="15"/>
      <c r="FX68" s="15"/>
      <c r="FY68" s="15"/>
      <c r="FZ68" s="15"/>
      <c r="GA68" s="15"/>
      <c r="GB68" s="15"/>
      <c r="GC68" s="15"/>
      <c r="GD68" s="15"/>
      <c r="GE68" s="15"/>
      <c r="GF68" s="15"/>
      <c r="GG68" s="15"/>
      <c r="GH68" s="15"/>
      <c r="GI68" s="15"/>
      <c r="GJ68" s="15"/>
      <c r="GK68" s="15"/>
      <c r="GL68" s="15"/>
      <c r="GM68" s="15"/>
      <c r="GN68" s="15"/>
      <c r="GO68" s="15"/>
      <c r="GP68" s="15"/>
      <c r="GQ68" s="15"/>
      <c r="GR68" s="15"/>
      <c r="GS68" s="15"/>
      <c r="GT68" s="15"/>
      <c r="GU68" s="15"/>
      <c r="GV68" s="15"/>
      <c r="GW68" s="15"/>
      <c r="GX68" s="15"/>
      <c r="GY68" s="15"/>
      <c r="GZ68" s="15"/>
      <c r="HA68" s="15"/>
      <c r="HB68" s="15"/>
      <c r="HC68" s="15"/>
      <c r="HD68" s="15"/>
      <c r="HE68" s="15"/>
      <c r="HF68" s="15"/>
      <c r="HG68" s="15"/>
      <c r="HH68" s="15"/>
      <c r="HI68" s="15"/>
      <c r="HJ68" s="15"/>
      <c r="HK68" s="15"/>
      <c r="HL68" s="15"/>
      <c r="HM68" s="15"/>
      <c r="HN68" s="15"/>
      <c r="HO68" s="15"/>
      <c r="HP68" s="15"/>
      <c r="HQ68" s="15"/>
      <c r="HR68" s="15"/>
      <c r="HS68" s="15"/>
      <c r="HT68" s="15"/>
      <c r="HU68" s="15"/>
      <c r="HV68" s="15"/>
      <c r="HW68" s="15"/>
      <c r="HX68" s="15"/>
      <c r="HY68" s="15"/>
      <c r="HZ68" s="15"/>
      <c r="IA68" s="15"/>
      <c r="IB68" s="15"/>
      <c r="IC68" s="15"/>
      <c r="ID68" s="15"/>
      <c r="IE68" s="15"/>
      <c r="IF68" s="15"/>
      <c r="IG68" s="15"/>
    </row>
    <row r="69" spans="2:241" s="16" customFormat="1" ht="39" hidden="1" customHeight="1" x14ac:dyDescent="0.3">
      <c r="B69" s="387"/>
      <c r="C69" s="395" t="s">
        <v>204</v>
      </c>
      <c r="D69" s="382" t="s">
        <v>205</v>
      </c>
      <c r="E69" s="504" t="s">
        <v>206</v>
      </c>
      <c r="F69" s="605" t="s">
        <v>207</v>
      </c>
      <c r="G69" s="606"/>
      <c r="H69" s="455">
        <v>1</v>
      </c>
      <c r="I69" s="456">
        <f>'สรุปใช้งบ 31กค'!L37</f>
        <v>8000</v>
      </c>
      <c r="J69" s="455" t="s">
        <v>20</v>
      </c>
      <c r="K69" s="457">
        <v>0</v>
      </c>
      <c r="L69" s="390">
        <f>I69</f>
        <v>8000</v>
      </c>
      <c r="M69" s="384">
        <f>'สรุปใช้งบ 31กค'!P37</f>
        <v>0</v>
      </c>
      <c r="N69" s="468">
        <f t="shared" ref="N69:N80" si="6">IFERROR(D69/C69-1,1)</f>
        <v>1</v>
      </c>
      <c r="O69" s="385">
        <v>0</v>
      </c>
      <c r="P69" s="388">
        <v>0</v>
      </c>
      <c r="Q69" s="468">
        <f t="shared" si="3"/>
        <v>-1</v>
      </c>
      <c r="R69" s="49" t="str">
        <f t="shared" ref="R69:R71" si="7">IF(O69&gt;L69,"เพิ่มขึ้น",IF(O69&lt;L69,"ลดลง",IF(O69=L69,"--")))</f>
        <v>ลดลง</v>
      </c>
      <c r="S69" s="517" t="str">
        <f>'สรุปใช้งบ 31กค'!S37</f>
        <v>1.รอง ผอ. อนุมัติ PR แล้ว เมื่อ 2 เม.ย. 69
2.คาดว่าจะได้ PC Q4
3.EPR ใหม่ งบจออยู่ที่ส่วนงาน (PC NB ฝทส.จัดหา)</v>
      </c>
      <c r="T69" s="391" t="str">
        <f t="shared" ref="T69:U80" si="8">J69</f>
        <v xml:space="preserve"> --</v>
      </c>
      <c r="U69" s="392">
        <f t="shared" si="8"/>
        <v>0</v>
      </c>
      <c r="V69" s="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c r="BV69" s="15"/>
      <c r="BW69" s="15"/>
      <c r="BX69" s="15"/>
      <c r="BY69" s="15"/>
      <c r="BZ69" s="15"/>
      <c r="CA69" s="15"/>
      <c r="CB69" s="15"/>
      <c r="CC69" s="15"/>
      <c r="CD69" s="15"/>
      <c r="CE69" s="15"/>
      <c r="CF69" s="15"/>
      <c r="CG69" s="15"/>
      <c r="CH69" s="15"/>
      <c r="CI69" s="15"/>
      <c r="CJ69" s="15"/>
      <c r="CK69" s="15"/>
      <c r="CL69" s="15"/>
      <c r="CM69" s="15"/>
      <c r="CN69" s="15"/>
      <c r="CO69" s="15"/>
      <c r="CP69" s="15"/>
      <c r="CQ69" s="15"/>
      <c r="CR69" s="15"/>
      <c r="CS69" s="15"/>
      <c r="CT69" s="15"/>
      <c r="CU69" s="15"/>
      <c r="CV69" s="15"/>
      <c r="CW69" s="15"/>
      <c r="CX69" s="15"/>
      <c r="CY69" s="15"/>
      <c r="CZ69" s="15"/>
      <c r="DA69" s="15"/>
      <c r="DB69" s="15"/>
      <c r="DC69" s="15"/>
      <c r="DD69" s="15"/>
      <c r="DE69" s="15"/>
      <c r="DF69" s="15"/>
      <c r="DG69" s="15"/>
      <c r="DH69" s="15"/>
      <c r="DI69" s="15"/>
      <c r="DJ69" s="15"/>
      <c r="DK69" s="15"/>
      <c r="DL69" s="15"/>
      <c r="DM69" s="15"/>
      <c r="DN69" s="15"/>
      <c r="DO69" s="15"/>
      <c r="DP69" s="15"/>
      <c r="DQ69" s="15"/>
      <c r="DR69" s="15"/>
      <c r="DS69" s="15"/>
      <c r="DT69" s="15"/>
      <c r="DU69" s="15"/>
      <c r="DV69" s="15"/>
      <c r="DW69" s="15"/>
      <c r="DX69" s="15"/>
      <c r="DY69" s="15"/>
      <c r="DZ69" s="15"/>
      <c r="EA69" s="15"/>
      <c r="EB69" s="15"/>
      <c r="EC69" s="15"/>
      <c r="ED69" s="15"/>
      <c r="EE69" s="15"/>
      <c r="EF69" s="15"/>
      <c r="EG69" s="15"/>
      <c r="EH69" s="15"/>
      <c r="EI69" s="15"/>
      <c r="EJ69" s="15"/>
      <c r="EK69" s="15"/>
      <c r="EL69" s="15"/>
      <c r="EM69" s="15"/>
      <c r="EN69" s="15"/>
      <c r="EO69" s="15"/>
      <c r="EP69" s="15"/>
      <c r="EQ69" s="15"/>
      <c r="ER69" s="15"/>
      <c r="ES69" s="15"/>
      <c r="ET69" s="15"/>
      <c r="EU69" s="15"/>
      <c r="EV69" s="15"/>
      <c r="EW69" s="15"/>
      <c r="EX69" s="15"/>
      <c r="EY69" s="15"/>
      <c r="EZ69" s="15"/>
      <c r="FA69" s="15"/>
      <c r="FB69" s="15"/>
      <c r="FC69" s="15"/>
      <c r="FD69" s="15"/>
      <c r="FE69" s="15"/>
      <c r="FF69" s="15"/>
      <c r="FG69" s="15"/>
      <c r="FH69" s="15"/>
      <c r="FI69" s="15"/>
      <c r="FJ69" s="15"/>
      <c r="FK69" s="15"/>
      <c r="FL69" s="15"/>
      <c r="FM69" s="15"/>
      <c r="FN69" s="15"/>
      <c r="FO69" s="15"/>
      <c r="FP69" s="15"/>
      <c r="FQ69" s="15"/>
      <c r="FR69" s="15"/>
      <c r="FS69" s="15"/>
      <c r="FT69" s="15"/>
      <c r="FU69" s="15"/>
      <c r="FV69" s="15"/>
      <c r="FW69" s="15"/>
      <c r="FX69" s="15"/>
      <c r="FY69" s="15"/>
      <c r="FZ69" s="15"/>
      <c r="GA69" s="15"/>
      <c r="GB69" s="15"/>
      <c r="GC69" s="15"/>
      <c r="GD69" s="15"/>
      <c r="GE69" s="15"/>
      <c r="GF69" s="15"/>
      <c r="GG69" s="15"/>
      <c r="GH69" s="15"/>
      <c r="GI69" s="15"/>
      <c r="GJ69" s="15"/>
      <c r="GK69" s="15"/>
      <c r="GL69" s="15"/>
      <c r="GM69" s="15"/>
      <c r="GN69" s="15"/>
      <c r="GO69" s="15"/>
      <c r="GP69" s="15"/>
      <c r="GQ69" s="15"/>
      <c r="GR69" s="15"/>
      <c r="GS69" s="15"/>
      <c r="GT69" s="15"/>
      <c r="GU69" s="15"/>
      <c r="GV69" s="15"/>
      <c r="GW69" s="15"/>
      <c r="GX69" s="15"/>
      <c r="GY69" s="15"/>
      <c r="GZ69" s="15"/>
      <c r="HA69" s="15"/>
      <c r="HB69" s="15"/>
      <c r="HC69" s="15"/>
      <c r="HD69" s="15"/>
      <c r="HE69" s="15"/>
      <c r="HF69" s="15"/>
      <c r="HG69" s="15"/>
      <c r="HH69" s="15"/>
      <c r="HI69" s="15"/>
      <c r="HJ69" s="15"/>
      <c r="HK69" s="15"/>
      <c r="HL69" s="15"/>
      <c r="HM69" s="15"/>
      <c r="HN69" s="15"/>
      <c r="HO69" s="15"/>
      <c r="HP69" s="15"/>
      <c r="HQ69" s="15"/>
      <c r="HR69" s="15"/>
      <c r="HS69" s="15"/>
      <c r="HT69" s="15"/>
      <c r="HU69" s="15"/>
      <c r="HV69" s="15"/>
      <c r="HW69" s="15"/>
      <c r="HX69" s="15"/>
      <c r="HY69" s="15"/>
      <c r="HZ69" s="15"/>
      <c r="IA69" s="15"/>
      <c r="IB69" s="15"/>
      <c r="IC69" s="15"/>
      <c r="ID69" s="15"/>
      <c r="IE69" s="15"/>
      <c r="IF69" s="15"/>
      <c r="IG69" s="15"/>
    </row>
    <row r="70" spans="2:241" s="16" customFormat="1" ht="34.049999999999997" hidden="1" customHeight="1" x14ac:dyDescent="0.3">
      <c r="B70" s="387"/>
      <c r="C70" s="395" t="s">
        <v>204</v>
      </c>
      <c r="D70" s="382" t="str">
        <f>'สรุปใช้งบ 31กค'!B38</f>
        <v>1800016008</v>
      </c>
      <c r="E70" s="504" t="s">
        <v>208</v>
      </c>
      <c r="F70" s="660" t="s">
        <v>209</v>
      </c>
      <c r="G70" s="661"/>
      <c r="H70" s="458">
        <v>21</v>
      </c>
      <c r="I70" s="459">
        <f>L70/H70</f>
        <v>32285.714285714286</v>
      </c>
      <c r="J70" s="455" t="s">
        <v>20</v>
      </c>
      <c r="K70" s="457">
        <v>0</v>
      </c>
      <c r="L70" s="383">
        <f>'สรุปใช้งบ 31กค'!H38</f>
        <v>678000</v>
      </c>
      <c r="M70" s="386">
        <f>'สรุปใช้งบ 31กค'!L38</f>
        <v>0</v>
      </c>
      <c r="N70" s="468">
        <f t="shared" si="6"/>
        <v>1</v>
      </c>
      <c r="O70" s="385">
        <v>0</v>
      </c>
      <c r="P70" s="388">
        <v>0</v>
      </c>
      <c r="Q70" s="468">
        <f t="shared" si="3"/>
        <v>-1</v>
      </c>
      <c r="R70" s="49" t="str">
        <f t="shared" si="7"/>
        <v>ลดลง</v>
      </c>
      <c r="S70" s="517" t="str">
        <f>'สรุปใช้งบ 31กค'!S38</f>
        <v>1.กำลังทำ PR
2.คาดว่าเซ็นสัญญา เดือน ก.ย. 69
3.มีบริษัทน้อย จึงใช้วิธีคัดเลือก</v>
      </c>
      <c r="T70" s="391" t="str">
        <f t="shared" si="8"/>
        <v xml:space="preserve"> --</v>
      </c>
      <c r="U70" s="392">
        <f t="shared" si="8"/>
        <v>0</v>
      </c>
      <c r="V70" s="5"/>
      <c r="W70" s="15"/>
      <c r="X70" s="15"/>
      <c r="Y70" s="15"/>
      <c r="Z70" s="15"/>
      <c r="AA70" s="15"/>
      <c r="AB70" s="15"/>
      <c r="AC70" s="15"/>
      <c r="AD70" s="15"/>
      <c r="AE70" s="15"/>
      <c r="AF70" s="15"/>
      <c r="AG70" s="15"/>
      <c r="AH70" s="15"/>
      <c r="AI70" s="15"/>
      <c r="AJ70" s="15"/>
      <c r="AK70" s="15"/>
      <c r="AL70" s="15"/>
      <c r="AM70" s="15"/>
      <c r="AN70" s="15"/>
      <c r="AO70" s="15"/>
      <c r="AP70" s="15"/>
      <c r="AQ70" s="15"/>
      <c r="AR70" s="15"/>
      <c r="AS70" s="15"/>
      <c r="AT70" s="15"/>
      <c r="AU70" s="15"/>
      <c r="AV70" s="15"/>
      <c r="AW70" s="15"/>
      <c r="AX70" s="15"/>
      <c r="AY70" s="15"/>
      <c r="AZ70" s="15"/>
      <c r="BA70" s="15"/>
      <c r="BB70" s="15"/>
      <c r="BC70" s="15"/>
      <c r="BD70" s="15"/>
      <c r="BE70" s="15"/>
      <c r="BF70" s="15"/>
      <c r="BG70" s="15"/>
      <c r="BH70" s="15"/>
      <c r="BI70" s="15"/>
      <c r="BJ70" s="15"/>
      <c r="BK70" s="15"/>
      <c r="BL70" s="15"/>
      <c r="BM70" s="15"/>
      <c r="BN70" s="15"/>
      <c r="BO70" s="15"/>
      <c r="BP70" s="15"/>
      <c r="BQ70" s="15"/>
      <c r="BR70" s="15"/>
      <c r="BS70" s="15"/>
      <c r="BT70" s="15"/>
      <c r="BU70" s="15"/>
      <c r="BV70" s="15"/>
      <c r="BW70" s="15"/>
      <c r="BX70" s="15"/>
      <c r="BY70" s="15"/>
      <c r="BZ70" s="15"/>
      <c r="CA70" s="15"/>
      <c r="CB70" s="15"/>
      <c r="CC70" s="15"/>
      <c r="CD70" s="15"/>
      <c r="CE70" s="15"/>
      <c r="CF70" s="15"/>
      <c r="CG70" s="15"/>
      <c r="CH70" s="15"/>
      <c r="CI70" s="15"/>
      <c r="CJ70" s="15"/>
      <c r="CK70" s="15"/>
      <c r="CL70" s="15"/>
      <c r="CM70" s="15"/>
      <c r="CN70" s="15"/>
      <c r="CO70" s="15"/>
      <c r="CP70" s="15"/>
      <c r="CQ70" s="15"/>
      <c r="CR70" s="15"/>
      <c r="CS70" s="15"/>
      <c r="CT70" s="15"/>
      <c r="CU70" s="15"/>
      <c r="CV70" s="15"/>
      <c r="CW70" s="15"/>
      <c r="CX70" s="15"/>
      <c r="CY70" s="15"/>
      <c r="CZ70" s="15"/>
      <c r="DA70" s="15"/>
      <c r="DB70" s="15"/>
      <c r="DC70" s="15"/>
      <c r="DD70" s="15"/>
      <c r="DE70" s="15"/>
      <c r="DF70" s="15"/>
      <c r="DG70" s="15"/>
      <c r="DH70" s="15"/>
      <c r="DI70" s="15"/>
      <c r="DJ70" s="15"/>
      <c r="DK70" s="15"/>
      <c r="DL70" s="15"/>
      <c r="DM70" s="15"/>
      <c r="DN70" s="15"/>
      <c r="DO70" s="15"/>
      <c r="DP70" s="15"/>
      <c r="DQ70" s="15"/>
      <c r="DR70" s="15"/>
      <c r="DS70" s="15"/>
      <c r="DT70" s="15"/>
      <c r="DU70" s="15"/>
      <c r="DV70" s="15"/>
      <c r="DW70" s="15"/>
      <c r="DX70" s="15"/>
      <c r="DY70" s="15"/>
      <c r="DZ70" s="15"/>
      <c r="EA70" s="15"/>
      <c r="EB70" s="15"/>
      <c r="EC70" s="15"/>
      <c r="ED70" s="15"/>
      <c r="EE70" s="15"/>
      <c r="EF70" s="15"/>
      <c r="EG70" s="15"/>
      <c r="EH70" s="15"/>
      <c r="EI70" s="15"/>
      <c r="EJ70" s="15"/>
      <c r="EK70" s="15"/>
      <c r="EL70" s="15"/>
      <c r="EM70" s="15"/>
      <c r="EN70" s="15"/>
      <c r="EO70" s="15"/>
      <c r="EP70" s="15"/>
      <c r="EQ70" s="15"/>
      <c r="ER70" s="15"/>
      <c r="ES70" s="15"/>
      <c r="ET70" s="15"/>
      <c r="EU70" s="15"/>
      <c r="EV70" s="15"/>
      <c r="EW70" s="15"/>
      <c r="EX70" s="15"/>
      <c r="EY70" s="15"/>
      <c r="EZ70" s="15"/>
      <c r="FA70" s="15"/>
      <c r="FB70" s="15"/>
      <c r="FC70" s="15"/>
      <c r="FD70" s="15"/>
      <c r="FE70" s="15"/>
      <c r="FF70" s="15"/>
      <c r="FG70" s="15"/>
      <c r="FH70" s="15"/>
      <c r="FI70" s="15"/>
      <c r="FJ70" s="15"/>
      <c r="FK70" s="15"/>
      <c r="FL70" s="15"/>
      <c r="FM70" s="15"/>
      <c r="FN70" s="15"/>
      <c r="FO70" s="15"/>
      <c r="FP70" s="15"/>
      <c r="FQ70" s="15"/>
      <c r="FR70" s="15"/>
      <c r="FS70" s="15"/>
      <c r="FT70" s="15"/>
      <c r="FU70" s="15"/>
      <c r="FV70" s="15"/>
      <c r="FW70" s="15"/>
      <c r="FX70" s="15"/>
      <c r="FY70" s="15"/>
      <c r="FZ70" s="15"/>
      <c r="GA70" s="15"/>
      <c r="GB70" s="15"/>
      <c r="GC70" s="15"/>
      <c r="GD70" s="15"/>
      <c r="GE70" s="15"/>
      <c r="GF70" s="15"/>
      <c r="GG70" s="15"/>
      <c r="GH70" s="15"/>
      <c r="GI70" s="15"/>
      <c r="GJ70" s="15"/>
      <c r="GK70" s="15"/>
      <c r="GL70" s="15"/>
      <c r="GM70" s="15"/>
      <c r="GN70" s="15"/>
      <c r="GO70" s="15"/>
      <c r="GP70" s="15"/>
      <c r="GQ70" s="15"/>
      <c r="GR70" s="15"/>
      <c r="GS70" s="15"/>
      <c r="GT70" s="15"/>
      <c r="GU70" s="15"/>
      <c r="GV70" s="15"/>
      <c r="GW70" s="15"/>
      <c r="GX70" s="15"/>
      <c r="GY70" s="15"/>
      <c r="GZ70" s="15"/>
      <c r="HA70" s="15"/>
      <c r="HB70" s="15"/>
      <c r="HC70" s="15"/>
      <c r="HD70" s="15"/>
      <c r="HE70" s="15"/>
      <c r="HF70" s="15"/>
      <c r="HG70" s="15"/>
      <c r="HH70" s="15"/>
      <c r="HI70" s="15"/>
      <c r="HJ70" s="15"/>
      <c r="HK70" s="15"/>
      <c r="HL70" s="15"/>
      <c r="HM70" s="15"/>
      <c r="HN70" s="15"/>
      <c r="HO70" s="15"/>
      <c r="HP70" s="15"/>
      <c r="HQ70" s="15"/>
      <c r="HR70" s="15"/>
      <c r="HS70" s="15"/>
      <c r="HT70" s="15"/>
      <c r="HU70" s="15"/>
      <c r="HV70" s="15"/>
      <c r="HW70" s="15"/>
      <c r="HX70" s="15"/>
      <c r="HY70" s="15"/>
      <c r="HZ70" s="15"/>
      <c r="IA70" s="15"/>
      <c r="IB70" s="15"/>
      <c r="IC70" s="15"/>
      <c r="ID70" s="15"/>
      <c r="IE70" s="15"/>
      <c r="IF70" s="15"/>
      <c r="IG70" s="15"/>
    </row>
    <row r="71" spans="2:241" s="16" customFormat="1" ht="22.5" hidden="1" customHeight="1" x14ac:dyDescent="0.3">
      <c r="B71" s="600"/>
      <c r="C71" s="395" t="s">
        <v>204</v>
      </c>
      <c r="D71" s="619" t="str">
        <f>'สรุปใช้งบ 31กค'!B39</f>
        <v>1800014020</v>
      </c>
      <c r="E71" s="504" t="s">
        <v>210</v>
      </c>
      <c r="F71" s="660" t="s">
        <v>211</v>
      </c>
      <c r="G71" s="661"/>
      <c r="H71" s="458">
        <v>3</v>
      </c>
      <c r="I71" s="609">
        <f>'สรุปใช้งบ 31กค'!H39</f>
        <v>23000</v>
      </c>
      <c r="J71" s="455" t="s">
        <v>20</v>
      </c>
      <c r="K71" s="457">
        <v>0</v>
      </c>
      <c r="L71" s="611">
        <f>I71</f>
        <v>23000</v>
      </c>
      <c r="M71" s="615">
        <f>'สรุปใช้งบ 31กค'!M39</f>
        <v>0</v>
      </c>
      <c r="N71" s="468">
        <f t="shared" si="6"/>
        <v>1</v>
      </c>
      <c r="O71" s="385">
        <v>0</v>
      </c>
      <c r="P71" s="388">
        <v>0</v>
      </c>
      <c r="Q71" s="468">
        <f t="shared" ref="Q71:Q81" si="9">IFERROR(O71/L71-1,1)</f>
        <v>-1</v>
      </c>
      <c r="R71" s="613" t="str">
        <f t="shared" si="7"/>
        <v>ลดลง</v>
      </c>
      <c r="S71" s="607" t="str">
        <f>'สรุปใช้งบ 31กค'!S39</f>
        <v>1.ได้แบบมาพร้อมราคา ทั้งสองอย่าง 
2.รอหารือและเลือกแบบที่ต้องการ
3.คาดว่าได้ของ ปลายเดือน มิ.ย.- ต้น ก.ค. 69</v>
      </c>
      <c r="T71" s="391" t="str">
        <f t="shared" si="8"/>
        <v xml:space="preserve"> --</v>
      </c>
      <c r="U71" s="392">
        <f t="shared" si="8"/>
        <v>0</v>
      </c>
      <c r="V71" s="5"/>
      <c r="W71" s="15"/>
      <c r="X71" s="15"/>
      <c r="Y71" s="15"/>
      <c r="Z71" s="15"/>
      <c r="AA71" s="15"/>
      <c r="AB71" s="15"/>
      <c r="AC71" s="15"/>
      <c r="AD71" s="15"/>
      <c r="AE71" s="15"/>
      <c r="AF71" s="15"/>
      <c r="AG71" s="15"/>
      <c r="AH71" s="15"/>
      <c r="AI71" s="15"/>
      <c r="AJ71" s="15"/>
      <c r="AK71" s="15"/>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15"/>
      <c r="DA71" s="15"/>
      <c r="DB71" s="15"/>
      <c r="DC71" s="15"/>
      <c r="DD71" s="15"/>
      <c r="DE71" s="15"/>
      <c r="DF71" s="15"/>
      <c r="DG71" s="15"/>
      <c r="DH71" s="15"/>
      <c r="DI71" s="15"/>
      <c r="DJ71" s="15"/>
      <c r="DK71" s="15"/>
      <c r="DL71" s="15"/>
      <c r="DM71" s="15"/>
      <c r="DN71" s="15"/>
      <c r="DO71" s="15"/>
      <c r="DP71" s="15"/>
      <c r="DQ71" s="15"/>
      <c r="DR71" s="15"/>
      <c r="DS71" s="15"/>
      <c r="DT71" s="15"/>
      <c r="DU71" s="15"/>
      <c r="DV71" s="15"/>
      <c r="DW71" s="15"/>
      <c r="DX71" s="15"/>
      <c r="DY71" s="15"/>
      <c r="DZ71" s="15"/>
      <c r="EA71" s="15"/>
      <c r="EB71" s="15"/>
      <c r="EC71" s="15"/>
      <c r="ED71" s="15"/>
      <c r="EE71" s="15"/>
      <c r="EF71" s="15"/>
      <c r="EG71" s="15"/>
      <c r="EH71" s="15"/>
      <c r="EI71" s="15"/>
      <c r="EJ71" s="15"/>
      <c r="EK71" s="15"/>
      <c r="EL71" s="15"/>
      <c r="EM71" s="15"/>
      <c r="EN71" s="15"/>
      <c r="EO71" s="15"/>
      <c r="EP71" s="15"/>
      <c r="EQ71" s="15"/>
      <c r="ER71" s="15"/>
      <c r="ES71" s="15"/>
      <c r="ET71" s="15"/>
      <c r="EU71" s="15"/>
      <c r="EV71" s="15"/>
      <c r="EW71" s="15"/>
      <c r="EX71" s="15"/>
      <c r="EY71" s="15"/>
      <c r="EZ71" s="15"/>
      <c r="FA71" s="15"/>
      <c r="FB71" s="15"/>
      <c r="FC71" s="15"/>
      <c r="FD71" s="15"/>
      <c r="FE71" s="15"/>
      <c r="FF71" s="15"/>
      <c r="FG71" s="15"/>
      <c r="FH71" s="15"/>
      <c r="FI71" s="15"/>
      <c r="FJ71" s="15"/>
      <c r="FK71" s="15"/>
      <c r="FL71" s="15"/>
      <c r="FM71" s="15"/>
      <c r="FN71" s="15"/>
      <c r="FO71" s="15"/>
      <c r="FP71" s="15"/>
      <c r="FQ71" s="15"/>
      <c r="FR71" s="15"/>
      <c r="FS71" s="15"/>
      <c r="FT71" s="15"/>
      <c r="FU71" s="15"/>
      <c r="FV71" s="15"/>
      <c r="FW71" s="15"/>
      <c r="FX71" s="15"/>
      <c r="FY71" s="15"/>
      <c r="FZ71" s="15"/>
      <c r="GA71" s="15"/>
      <c r="GB71" s="15"/>
      <c r="GC71" s="15"/>
      <c r="GD71" s="15"/>
      <c r="GE71" s="15"/>
      <c r="GF71" s="15"/>
      <c r="GG71" s="15"/>
      <c r="GH71" s="15"/>
      <c r="GI71" s="15"/>
      <c r="GJ71" s="15"/>
      <c r="GK71" s="15"/>
      <c r="GL71" s="15"/>
      <c r="GM71" s="15"/>
      <c r="GN71" s="15"/>
      <c r="GO71" s="15"/>
      <c r="GP71" s="15"/>
      <c r="GQ71" s="15"/>
      <c r="GR71" s="15"/>
      <c r="GS71" s="15"/>
      <c r="GT71" s="15"/>
      <c r="GU71" s="15"/>
      <c r="GV71" s="15"/>
      <c r="GW71" s="15"/>
      <c r="GX71" s="15"/>
      <c r="GY71" s="15"/>
      <c r="GZ71" s="15"/>
      <c r="HA71" s="15"/>
      <c r="HB71" s="15"/>
      <c r="HC71" s="15"/>
      <c r="HD71" s="15"/>
      <c r="HE71" s="15"/>
      <c r="HF71" s="15"/>
      <c r="HG71" s="15"/>
      <c r="HH71" s="15"/>
      <c r="HI71" s="15"/>
      <c r="HJ71" s="15"/>
      <c r="HK71" s="15"/>
      <c r="HL71" s="15"/>
      <c r="HM71" s="15"/>
      <c r="HN71" s="15"/>
      <c r="HO71" s="15"/>
      <c r="HP71" s="15"/>
      <c r="HQ71" s="15"/>
      <c r="HR71" s="15"/>
      <c r="HS71" s="15"/>
      <c r="HT71" s="15"/>
      <c r="HU71" s="15"/>
      <c r="HV71" s="15"/>
      <c r="HW71" s="15"/>
      <c r="HX71" s="15"/>
      <c r="HY71" s="15"/>
      <c r="HZ71" s="15"/>
      <c r="IA71" s="15"/>
      <c r="IB71" s="15"/>
      <c r="IC71" s="15"/>
      <c r="ID71" s="15"/>
      <c r="IE71" s="15"/>
      <c r="IF71" s="15"/>
      <c r="IG71" s="15"/>
    </row>
    <row r="72" spans="2:241" s="16" customFormat="1" ht="22.5" hidden="1" customHeight="1" x14ac:dyDescent="0.3">
      <c r="B72" s="600"/>
      <c r="C72" s="395" t="s">
        <v>204</v>
      </c>
      <c r="D72" s="620"/>
      <c r="E72" s="504" t="s">
        <v>212</v>
      </c>
      <c r="F72" s="605" t="s">
        <v>213</v>
      </c>
      <c r="G72" s="606"/>
      <c r="H72" s="458">
        <v>1</v>
      </c>
      <c r="I72" s="610"/>
      <c r="J72" s="455" t="s">
        <v>20</v>
      </c>
      <c r="K72" s="457">
        <v>0</v>
      </c>
      <c r="L72" s="612"/>
      <c r="M72" s="616"/>
      <c r="N72" s="468">
        <f t="shared" si="6"/>
        <v>1</v>
      </c>
      <c r="O72" s="385">
        <v>0</v>
      </c>
      <c r="P72" s="388">
        <v>0</v>
      </c>
      <c r="Q72" s="468">
        <f t="shared" si="9"/>
        <v>1</v>
      </c>
      <c r="R72" s="614"/>
      <c r="S72" s="608"/>
      <c r="T72" s="391" t="str">
        <f t="shared" si="8"/>
        <v xml:space="preserve"> --</v>
      </c>
      <c r="U72" s="392">
        <f t="shared" si="8"/>
        <v>0</v>
      </c>
      <c r="V72" s="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5"/>
      <c r="CF72" s="15"/>
      <c r="CG72" s="15"/>
      <c r="CH72" s="15"/>
      <c r="CI72" s="15"/>
      <c r="CJ72" s="15"/>
      <c r="CK72" s="15"/>
      <c r="CL72" s="15"/>
      <c r="CM72" s="15"/>
      <c r="CN72" s="15"/>
      <c r="CO72" s="15"/>
      <c r="CP72" s="15"/>
      <c r="CQ72" s="15"/>
      <c r="CR72" s="15"/>
      <c r="CS72" s="15"/>
      <c r="CT72" s="15"/>
      <c r="CU72" s="15"/>
      <c r="CV72" s="15"/>
      <c r="CW72" s="15"/>
      <c r="CX72" s="15"/>
      <c r="CY72" s="15"/>
      <c r="CZ72" s="15"/>
      <c r="DA72" s="15"/>
      <c r="DB72" s="15"/>
      <c r="DC72" s="15"/>
      <c r="DD72" s="15"/>
      <c r="DE72" s="15"/>
      <c r="DF72" s="15"/>
      <c r="DG72" s="15"/>
      <c r="DH72" s="15"/>
      <c r="DI72" s="15"/>
      <c r="DJ72" s="15"/>
      <c r="DK72" s="15"/>
      <c r="DL72" s="15"/>
      <c r="DM72" s="15"/>
      <c r="DN72" s="15"/>
      <c r="DO72" s="15"/>
      <c r="DP72" s="15"/>
      <c r="DQ72" s="15"/>
      <c r="DR72" s="15"/>
      <c r="DS72" s="15"/>
      <c r="DT72" s="15"/>
      <c r="DU72" s="15"/>
      <c r="DV72" s="15"/>
      <c r="DW72" s="15"/>
      <c r="DX72" s="15"/>
      <c r="DY72" s="15"/>
      <c r="DZ72" s="15"/>
      <c r="EA72" s="15"/>
      <c r="EB72" s="15"/>
      <c r="EC72" s="15"/>
      <c r="ED72" s="15"/>
      <c r="EE72" s="15"/>
      <c r="EF72" s="15"/>
      <c r="EG72" s="15"/>
      <c r="EH72" s="15"/>
      <c r="EI72" s="15"/>
      <c r="EJ72" s="15"/>
      <c r="EK72" s="15"/>
      <c r="EL72" s="15"/>
      <c r="EM72" s="15"/>
      <c r="EN72" s="15"/>
      <c r="EO72" s="15"/>
      <c r="EP72" s="15"/>
      <c r="EQ72" s="15"/>
      <c r="ER72" s="15"/>
      <c r="ES72" s="15"/>
      <c r="ET72" s="15"/>
      <c r="EU72" s="15"/>
      <c r="EV72" s="15"/>
      <c r="EW72" s="15"/>
      <c r="EX72" s="15"/>
      <c r="EY72" s="15"/>
      <c r="EZ72" s="15"/>
      <c r="FA72" s="15"/>
      <c r="FB72" s="15"/>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c r="GA72" s="15"/>
      <c r="GB72" s="15"/>
      <c r="GC72" s="15"/>
      <c r="GD72" s="15"/>
      <c r="GE72" s="15"/>
      <c r="GF72" s="15"/>
      <c r="GG72" s="15"/>
      <c r="GH72" s="15"/>
      <c r="GI72" s="15"/>
      <c r="GJ72" s="15"/>
      <c r="GK72" s="15"/>
      <c r="GL72" s="15"/>
      <c r="GM72" s="15"/>
      <c r="GN72" s="15"/>
      <c r="GO72" s="15"/>
      <c r="GP72" s="15"/>
      <c r="GQ72" s="15"/>
      <c r="GR72" s="15"/>
      <c r="GS72" s="15"/>
      <c r="GT72" s="15"/>
      <c r="GU72" s="15"/>
      <c r="GV72" s="15"/>
      <c r="GW72" s="15"/>
      <c r="GX72" s="15"/>
      <c r="GY72" s="15"/>
      <c r="GZ72" s="15"/>
      <c r="HA72" s="15"/>
      <c r="HB72" s="15"/>
      <c r="HC72" s="15"/>
      <c r="HD72" s="15"/>
      <c r="HE72" s="15"/>
      <c r="HF72" s="15"/>
      <c r="HG72" s="15"/>
      <c r="HH72" s="15"/>
      <c r="HI72" s="15"/>
      <c r="HJ72" s="15"/>
      <c r="HK72" s="15"/>
      <c r="HL72" s="15"/>
      <c r="HM72" s="15"/>
      <c r="HN72" s="15"/>
      <c r="HO72" s="15"/>
      <c r="HP72" s="15"/>
      <c r="HQ72" s="15"/>
      <c r="HR72" s="15"/>
      <c r="HS72" s="15"/>
      <c r="HT72" s="15"/>
      <c r="HU72" s="15"/>
      <c r="HV72" s="15"/>
      <c r="HW72" s="15"/>
      <c r="HX72" s="15"/>
      <c r="HY72" s="15"/>
      <c r="HZ72" s="15"/>
      <c r="IA72" s="15"/>
      <c r="IB72" s="15"/>
      <c r="IC72" s="15"/>
      <c r="ID72" s="15"/>
      <c r="IE72" s="15"/>
      <c r="IF72" s="15"/>
      <c r="IG72" s="15"/>
    </row>
    <row r="73" spans="2:241" s="16" customFormat="1" ht="25.05" hidden="1" customHeight="1" x14ac:dyDescent="0.3">
      <c r="B73" s="600"/>
      <c r="C73" s="395" t="s">
        <v>204</v>
      </c>
      <c r="D73" s="382" t="str">
        <f>'สรุปใช้งบ 31กค'!B40</f>
        <v>1800014095</v>
      </c>
      <c r="E73" s="504" t="s">
        <v>214</v>
      </c>
      <c r="F73" s="660" t="s">
        <v>215</v>
      </c>
      <c r="G73" s="661"/>
      <c r="H73" s="458">
        <v>1</v>
      </c>
      <c r="I73" s="459">
        <f>'สรุปใช้งบ 31กค'!H40</f>
        <v>11000</v>
      </c>
      <c r="J73" s="455" t="s">
        <v>20</v>
      </c>
      <c r="K73" s="457">
        <v>0</v>
      </c>
      <c r="L73" s="379">
        <f>I73</f>
        <v>11000</v>
      </c>
      <c r="M73" s="384">
        <f>'สรุปใช้งบ 31กค'!L40</f>
        <v>0</v>
      </c>
      <c r="N73" s="468">
        <f t="shared" si="6"/>
        <v>1</v>
      </c>
      <c r="O73" s="385">
        <v>0</v>
      </c>
      <c r="P73" s="388">
        <v>0</v>
      </c>
      <c r="Q73" s="468">
        <f t="shared" si="9"/>
        <v>-1</v>
      </c>
      <c r="R73" s="49" t="str">
        <f t="shared" ref="R73:R81" si="10">IF(O73&gt;L73,"เพิ่มขึ้น",IF(O73&lt;L73,"ลดลง",IF(O73=L73,"--")))</f>
        <v>ลดลง</v>
      </c>
      <c r="S73" s="517" t="str">
        <f>'สรุปใช้งบ 31กค'!S40</f>
        <v>อยู่ระหว่างขอใบเสนอราคา 3 ราย 
เพื่อส่งให้ ฝทส.จัดหา</v>
      </c>
      <c r="T73" s="391" t="str">
        <f t="shared" si="8"/>
        <v xml:space="preserve"> --</v>
      </c>
      <c r="U73" s="392">
        <f t="shared" si="8"/>
        <v>0</v>
      </c>
      <c r="V73" s="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5"/>
      <c r="CF73" s="15"/>
      <c r="CG73" s="15"/>
      <c r="CH73" s="15"/>
      <c r="CI73" s="15"/>
      <c r="CJ73" s="15"/>
      <c r="CK73" s="15"/>
      <c r="CL73" s="15"/>
      <c r="CM73" s="15"/>
      <c r="CN73" s="15"/>
      <c r="CO73" s="15"/>
      <c r="CP73" s="15"/>
      <c r="CQ73" s="15"/>
      <c r="CR73" s="15"/>
      <c r="CS73" s="15"/>
      <c r="CT73" s="15"/>
      <c r="CU73" s="15"/>
      <c r="CV73" s="15"/>
      <c r="CW73" s="15"/>
      <c r="CX73" s="15"/>
      <c r="CY73" s="15"/>
      <c r="CZ73" s="15"/>
      <c r="DA73" s="15"/>
      <c r="DB73" s="15"/>
      <c r="DC73" s="15"/>
      <c r="DD73" s="15"/>
      <c r="DE73" s="15"/>
      <c r="DF73" s="15"/>
      <c r="DG73" s="15"/>
      <c r="DH73" s="15"/>
      <c r="DI73" s="15"/>
      <c r="DJ73" s="15"/>
      <c r="DK73" s="15"/>
      <c r="DL73" s="15"/>
      <c r="DM73" s="15"/>
      <c r="DN73" s="15"/>
      <c r="DO73" s="15"/>
      <c r="DP73" s="15"/>
      <c r="DQ73" s="15"/>
      <c r="DR73" s="15"/>
      <c r="DS73" s="15"/>
      <c r="DT73" s="15"/>
      <c r="DU73" s="15"/>
      <c r="DV73" s="15"/>
      <c r="DW73" s="15"/>
      <c r="DX73" s="15"/>
      <c r="DY73" s="15"/>
      <c r="DZ73" s="15"/>
      <c r="EA73" s="15"/>
      <c r="EB73" s="15"/>
      <c r="EC73" s="15"/>
      <c r="ED73" s="15"/>
      <c r="EE73" s="15"/>
      <c r="EF73" s="15"/>
      <c r="EG73" s="15"/>
      <c r="EH73" s="15"/>
      <c r="EI73" s="15"/>
      <c r="EJ73" s="15"/>
      <c r="EK73" s="15"/>
      <c r="EL73" s="15"/>
      <c r="EM73" s="15"/>
      <c r="EN73" s="15"/>
      <c r="EO73" s="15"/>
      <c r="EP73" s="15"/>
      <c r="EQ73" s="15"/>
      <c r="ER73" s="15"/>
      <c r="ES73" s="15"/>
      <c r="ET73" s="15"/>
      <c r="EU73" s="15"/>
      <c r="EV73" s="15"/>
      <c r="EW73" s="15"/>
      <c r="EX73" s="15"/>
      <c r="EY73" s="15"/>
      <c r="EZ73" s="15"/>
      <c r="FA73" s="15"/>
      <c r="FB73" s="15"/>
      <c r="FC73" s="15"/>
      <c r="FD73" s="15"/>
      <c r="FE73" s="15"/>
      <c r="FF73" s="15"/>
      <c r="FG73" s="15"/>
      <c r="FH73" s="15"/>
      <c r="FI73" s="15"/>
      <c r="FJ73" s="15"/>
      <c r="FK73" s="15"/>
      <c r="FL73" s="15"/>
      <c r="FM73" s="15"/>
      <c r="FN73" s="15"/>
      <c r="FO73" s="15"/>
      <c r="FP73" s="15"/>
      <c r="FQ73" s="15"/>
      <c r="FR73" s="15"/>
      <c r="FS73" s="15"/>
      <c r="FT73" s="15"/>
      <c r="FU73" s="15"/>
      <c r="FV73" s="15"/>
      <c r="FW73" s="15"/>
      <c r="FX73" s="15"/>
      <c r="FY73" s="15"/>
      <c r="FZ73" s="15"/>
      <c r="GA73" s="15"/>
      <c r="GB73" s="15"/>
      <c r="GC73" s="15"/>
      <c r="GD73" s="15"/>
      <c r="GE73" s="15"/>
      <c r="GF73" s="15"/>
      <c r="GG73" s="15"/>
      <c r="GH73" s="15"/>
      <c r="GI73" s="15"/>
      <c r="GJ73" s="15"/>
      <c r="GK73" s="15"/>
      <c r="GL73" s="15"/>
      <c r="GM73" s="15"/>
      <c r="GN73" s="15"/>
      <c r="GO73" s="15"/>
      <c r="GP73" s="15"/>
      <c r="GQ73" s="15"/>
      <c r="GR73" s="15"/>
      <c r="GS73" s="15"/>
      <c r="GT73" s="15"/>
      <c r="GU73" s="15"/>
      <c r="GV73" s="15"/>
      <c r="GW73" s="15"/>
      <c r="GX73" s="15"/>
      <c r="GY73" s="15"/>
      <c r="GZ73" s="15"/>
      <c r="HA73" s="15"/>
      <c r="HB73" s="15"/>
      <c r="HC73" s="15"/>
      <c r="HD73" s="15"/>
      <c r="HE73" s="15"/>
      <c r="HF73" s="15"/>
      <c r="HG73" s="15"/>
      <c r="HH73" s="15"/>
      <c r="HI73" s="15"/>
      <c r="HJ73" s="15"/>
      <c r="HK73" s="15"/>
      <c r="HL73" s="15"/>
      <c r="HM73" s="15"/>
      <c r="HN73" s="15"/>
      <c r="HO73" s="15"/>
      <c r="HP73" s="15"/>
      <c r="HQ73" s="15"/>
      <c r="HR73" s="15"/>
      <c r="HS73" s="15"/>
      <c r="HT73" s="15"/>
      <c r="HU73" s="15"/>
      <c r="HV73" s="15"/>
      <c r="HW73" s="15"/>
      <c r="HX73" s="15"/>
      <c r="HY73" s="15"/>
      <c r="HZ73" s="15"/>
      <c r="IA73" s="15"/>
      <c r="IB73" s="15"/>
      <c r="IC73" s="15"/>
      <c r="ID73" s="15"/>
      <c r="IE73" s="15"/>
      <c r="IF73" s="15"/>
      <c r="IG73" s="15"/>
    </row>
    <row r="74" spans="2:241" s="16" customFormat="1" ht="25.05" hidden="1" customHeight="1" x14ac:dyDescent="0.3">
      <c r="B74" s="600"/>
      <c r="C74" s="395" t="s">
        <v>204</v>
      </c>
      <c r="D74" s="382" t="str">
        <f>'สรุปใช้งบ 31กค'!B41</f>
        <v>1800025016</v>
      </c>
      <c r="E74" s="504" t="s">
        <v>216</v>
      </c>
      <c r="F74" s="617" t="s">
        <v>217</v>
      </c>
      <c r="G74" s="617"/>
      <c r="H74" s="458">
        <v>1</v>
      </c>
      <c r="I74" s="459">
        <f>'สรุปใช้งบ 31กค'!H41</f>
        <v>112000</v>
      </c>
      <c r="J74" s="455" t="s">
        <v>20</v>
      </c>
      <c r="K74" s="457">
        <v>0</v>
      </c>
      <c r="L74" s="383">
        <f>I74</f>
        <v>112000</v>
      </c>
      <c r="M74" s="383">
        <f>'สรุปใช้งบ 31กค'!L41</f>
        <v>105000</v>
      </c>
      <c r="N74" s="468">
        <f t="shared" si="6"/>
        <v>1</v>
      </c>
      <c r="O74" s="385">
        <v>0</v>
      </c>
      <c r="P74" s="388">
        <v>0</v>
      </c>
      <c r="Q74" s="468">
        <f t="shared" si="9"/>
        <v>-1</v>
      </c>
      <c r="R74" s="49" t="str">
        <f t="shared" si="10"/>
        <v>ลดลง</v>
      </c>
      <c r="S74" s="517" t="str">
        <f>'สรุปใช้งบ 31กค'!S41</f>
        <v>1.รอง ผอ.อนุมัติ PR แล้ว เมื่อ 6 มิ.ย. 69
2.คาดว่าได้รับของ ปลายเดือน มิ.ย.</v>
      </c>
      <c r="T74" s="391" t="str">
        <f t="shared" si="8"/>
        <v xml:space="preserve"> --</v>
      </c>
      <c r="U74" s="392">
        <f t="shared" si="8"/>
        <v>0</v>
      </c>
      <c r="V74" s="5"/>
      <c r="W74" s="15"/>
      <c r="X74" s="15"/>
      <c r="Y74" s="15"/>
      <c r="Z74" s="15"/>
      <c r="AA74" s="15"/>
      <c r="AB74" s="15"/>
      <c r="AC74" s="15"/>
      <c r="AD74" s="15"/>
      <c r="AE74" s="15"/>
      <c r="AF74" s="15"/>
      <c r="AG74" s="15"/>
      <c r="AH74" s="15"/>
      <c r="AI74" s="15"/>
      <c r="AJ74" s="15"/>
      <c r="AK74" s="15"/>
      <c r="AL74" s="15"/>
      <c r="AM74" s="15"/>
      <c r="AN74" s="15"/>
      <c r="AO74" s="15"/>
      <c r="AP74" s="15"/>
      <c r="AQ74" s="15"/>
      <c r="AR74" s="15"/>
      <c r="AS74" s="15"/>
      <c r="AT74" s="15"/>
      <c r="AU74" s="15"/>
      <c r="AV74" s="15"/>
      <c r="AW74" s="15"/>
      <c r="AX74" s="15"/>
      <c r="AY74" s="15"/>
      <c r="AZ74" s="15"/>
      <c r="BA74" s="15"/>
      <c r="BB74" s="15"/>
      <c r="BC74" s="15"/>
      <c r="BD74" s="15"/>
      <c r="BE74" s="15"/>
      <c r="BF74" s="15"/>
      <c r="BG74" s="15"/>
      <c r="BH74" s="15"/>
      <c r="BI74" s="15"/>
      <c r="BJ74" s="15"/>
      <c r="BK74" s="15"/>
      <c r="BL74" s="15"/>
      <c r="BM74" s="15"/>
      <c r="BN74" s="15"/>
      <c r="BO74" s="15"/>
      <c r="BP74" s="15"/>
      <c r="BQ74" s="15"/>
      <c r="BR74" s="15"/>
      <c r="BS74" s="15"/>
      <c r="BT74" s="15"/>
      <c r="BU74" s="15"/>
      <c r="BV74" s="15"/>
      <c r="BW74" s="15"/>
      <c r="BX74" s="15"/>
      <c r="BY74" s="15"/>
      <c r="BZ74" s="15"/>
      <c r="CA74" s="15"/>
      <c r="CB74" s="15"/>
      <c r="CC74" s="15"/>
      <c r="CD74" s="15"/>
      <c r="CE74" s="15"/>
      <c r="CF74" s="15"/>
      <c r="CG74" s="15"/>
      <c r="CH74" s="15"/>
      <c r="CI74" s="15"/>
      <c r="CJ74" s="15"/>
      <c r="CK74" s="15"/>
      <c r="CL74" s="15"/>
      <c r="CM74" s="15"/>
      <c r="CN74" s="15"/>
      <c r="CO74" s="15"/>
      <c r="CP74" s="15"/>
      <c r="CQ74" s="15"/>
      <c r="CR74" s="15"/>
      <c r="CS74" s="15"/>
      <c r="CT74" s="15"/>
      <c r="CU74" s="15"/>
      <c r="CV74" s="15"/>
      <c r="CW74" s="15"/>
      <c r="CX74" s="15"/>
      <c r="CY74" s="15"/>
      <c r="CZ74" s="15"/>
      <c r="DA74" s="15"/>
      <c r="DB74" s="15"/>
      <c r="DC74" s="15"/>
      <c r="DD74" s="15"/>
      <c r="DE74" s="15"/>
      <c r="DF74" s="15"/>
      <c r="DG74" s="15"/>
      <c r="DH74" s="15"/>
      <c r="DI74" s="15"/>
      <c r="DJ74" s="15"/>
      <c r="DK74" s="15"/>
      <c r="DL74" s="15"/>
      <c r="DM74" s="15"/>
      <c r="DN74" s="15"/>
      <c r="DO74" s="15"/>
      <c r="DP74" s="15"/>
      <c r="DQ74" s="15"/>
      <c r="DR74" s="15"/>
      <c r="DS74" s="15"/>
      <c r="DT74" s="15"/>
      <c r="DU74" s="15"/>
      <c r="DV74" s="15"/>
      <c r="DW74" s="15"/>
      <c r="DX74" s="15"/>
      <c r="DY74" s="15"/>
      <c r="DZ74" s="15"/>
      <c r="EA74" s="15"/>
      <c r="EB74" s="15"/>
      <c r="EC74" s="15"/>
      <c r="ED74" s="15"/>
      <c r="EE74" s="15"/>
      <c r="EF74" s="15"/>
      <c r="EG74" s="15"/>
      <c r="EH74" s="15"/>
      <c r="EI74" s="15"/>
      <c r="EJ74" s="15"/>
      <c r="EK74" s="15"/>
      <c r="EL74" s="15"/>
      <c r="EM74" s="15"/>
      <c r="EN74" s="15"/>
      <c r="EO74" s="15"/>
      <c r="EP74" s="15"/>
      <c r="EQ74" s="15"/>
      <c r="ER74" s="15"/>
      <c r="ES74" s="15"/>
      <c r="ET74" s="15"/>
      <c r="EU74" s="15"/>
      <c r="EV74" s="15"/>
      <c r="EW74" s="15"/>
      <c r="EX74" s="15"/>
      <c r="EY74" s="15"/>
      <c r="EZ74" s="15"/>
      <c r="FA74" s="15"/>
      <c r="FB74" s="15"/>
      <c r="FC74" s="15"/>
      <c r="FD74" s="15"/>
      <c r="FE74" s="15"/>
      <c r="FF74" s="15"/>
      <c r="FG74" s="15"/>
      <c r="FH74" s="15"/>
      <c r="FI74" s="15"/>
      <c r="FJ74" s="15"/>
      <c r="FK74" s="15"/>
      <c r="FL74" s="15"/>
      <c r="FM74" s="15"/>
      <c r="FN74" s="15"/>
      <c r="FO74" s="15"/>
      <c r="FP74" s="15"/>
      <c r="FQ74" s="15"/>
      <c r="FR74" s="15"/>
      <c r="FS74" s="15"/>
      <c r="FT74" s="15"/>
      <c r="FU74" s="15"/>
      <c r="FV74" s="15"/>
      <c r="FW74" s="15"/>
      <c r="FX74" s="15"/>
      <c r="FY74" s="15"/>
      <c r="FZ74" s="15"/>
      <c r="GA74" s="15"/>
      <c r="GB74" s="15"/>
      <c r="GC74" s="15"/>
      <c r="GD74" s="15"/>
      <c r="GE74" s="15"/>
      <c r="GF74" s="15"/>
      <c r="GG74" s="15"/>
      <c r="GH74" s="15"/>
      <c r="GI74" s="15"/>
      <c r="GJ74" s="15"/>
      <c r="GK74" s="15"/>
      <c r="GL74" s="15"/>
      <c r="GM74" s="15"/>
      <c r="GN74" s="15"/>
      <c r="GO74" s="15"/>
      <c r="GP74" s="15"/>
      <c r="GQ74" s="15"/>
      <c r="GR74" s="15"/>
      <c r="GS74" s="15"/>
      <c r="GT74" s="15"/>
      <c r="GU74" s="15"/>
      <c r="GV74" s="15"/>
      <c r="GW74" s="15"/>
      <c r="GX74" s="15"/>
      <c r="GY74" s="15"/>
      <c r="GZ74" s="15"/>
      <c r="HA74" s="15"/>
      <c r="HB74" s="15"/>
      <c r="HC74" s="15"/>
      <c r="HD74" s="15"/>
      <c r="HE74" s="15"/>
      <c r="HF74" s="15"/>
      <c r="HG74" s="15"/>
      <c r="HH74" s="15"/>
      <c r="HI74" s="15"/>
      <c r="HJ74" s="15"/>
      <c r="HK74" s="15"/>
      <c r="HL74" s="15"/>
      <c r="HM74" s="15"/>
      <c r="HN74" s="15"/>
      <c r="HO74" s="15"/>
      <c r="HP74" s="15"/>
      <c r="HQ74" s="15"/>
      <c r="HR74" s="15"/>
      <c r="HS74" s="15"/>
      <c r="HT74" s="15"/>
      <c r="HU74" s="15"/>
      <c r="HV74" s="15"/>
      <c r="HW74" s="15"/>
      <c r="HX74" s="15"/>
      <c r="HY74" s="15"/>
      <c r="HZ74" s="15"/>
      <c r="IA74" s="15"/>
      <c r="IB74" s="15"/>
      <c r="IC74" s="15"/>
      <c r="ID74" s="15"/>
      <c r="IE74" s="15"/>
      <c r="IF74" s="15"/>
      <c r="IG74" s="15"/>
    </row>
    <row r="75" spans="2:241" s="16" customFormat="1" ht="25.05" hidden="1" customHeight="1" x14ac:dyDescent="0.3">
      <c r="B75" s="600"/>
      <c r="C75" s="395" t="s">
        <v>204</v>
      </c>
      <c r="D75" s="382" t="str">
        <f>'สรุปใช้งบ 31กค'!B42</f>
        <v>1800009004</v>
      </c>
      <c r="E75" s="504" t="s">
        <v>218</v>
      </c>
      <c r="F75" s="617" t="s">
        <v>219</v>
      </c>
      <c r="G75" s="617"/>
      <c r="H75" s="455">
        <v>1</v>
      </c>
      <c r="I75" s="460">
        <f>L75</f>
        <v>310000</v>
      </c>
      <c r="J75" s="455" t="s">
        <v>20</v>
      </c>
      <c r="K75" s="457">
        <v>0</v>
      </c>
      <c r="L75" s="379">
        <f>'สรุปใช้งบ 31กค'!H42</f>
        <v>310000</v>
      </c>
      <c r="M75" s="42">
        <f>'สรุปใช้งบ 31กค'!L42</f>
        <v>256800</v>
      </c>
      <c r="N75" s="468">
        <f t="shared" si="6"/>
        <v>1</v>
      </c>
      <c r="O75" s="385">
        <v>0</v>
      </c>
      <c r="P75" s="388">
        <v>0</v>
      </c>
      <c r="Q75" s="468">
        <f t="shared" si="9"/>
        <v>-1</v>
      </c>
      <c r="R75" s="49" t="str">
        <f t="shared" si="10"/>
        <v>ลดลง</v>
      </c>
      <c r="S75" s="518" t="str">
        <f>'สรุปใช้งบ 31กค'!S42</f>
        <v xml:space="preserve">1.รอง ผอ.อนุมัติ PR แล้ว เมื่อ 27 ก.ค. 69
2.คาดว่าเซ็นสัญญาไม่เกิน เดือน ส.ค. 69 </v>
      </c>
      <c r="T75" s="391" t="str">
        <f t="shared" si="8"/>
        <v xml:space="preserve"> --</v>
      </c>
      <c r="U75" s="392">
        <f t="shared" si="8"/>
        <v>0</v>
      </c>
      <c r="V75" s="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5"/>
      <c r="CF75" s="15"/>
      <c r="CG75" s="15"/>
      <c r="CH75" s="15"/>
      <c r="CI75" s="15"/>
      <c r="CJ75" s="15"/>
      <c r="CK75" s="15"/>
      <c r="CL75" s="15"/>
      <c r="CM75" s="15"/>
      <c r="CN75" s="15"/>
      <c r="CO75" s="15"/>
      <c r="CP75" s="15"/>
      <c r="CQ75" s="15"/>
      <c r="CR75" s="15"/>
      <c r="CS75" s="15"/>
      <c r="CT75" s="15"/>
      <c r="CU75" s="15"/>
      <c r="CV75" s="15"/>
      <c r="CW75" s="15"/>
      <c r="CX75" s="15"/>
      <c r="CY75" s="15"/>
      <c r="CZ75" s="15"/>
      <c r="DA75" s="15"/>
      <c r="DB75" s="15"/>
      <c r="DC75" s="15"/>
      <c r="DD75" s="15"/>
      <c r="DE75" s="15"/>
      <c r="DF75" s="15"/>
      <c r="DG75" s="15"/>
      <c r="DH75" s="15"/>
      <c r="DI75" s="15"/>
      <c r="DJ75" s="15"/>
      <c r="DK75" s="15"/>
      <c r="DL75" s="15"/>
      <c r="DM75" s="15"/>
      <c r="DN75" s="15"/>
      <c r="DO75" s="15"/>
      <c r="DP75" s="15"/>
      <c r="DQ75" s="15"/>
      <c r="DR75" s="15"/>
      <c r="DS75" s="15"/>
      <c r="DT75" s="15"/>
      <c r="DU75" s="15"/>
      <c r="DV75" s="15"/>
      <c r="DW75" s="15"/>
      <c r="DX75" s="15"/>
      <c r="DY75" s="15"/>
      <c r="DZ75" s="15"/>
      <c r="EA75" s="15"/>
      <c r="EB75" s="15"/>
      <c r="EC75" s="15"/>
      <c r="ED75" s="15"/>
      <c r="EE75" s="15"/>
      <c r="EF75" s="15"/>
      <c r="EG75" s="15"/>
      <c r="EH75" s="15"/>
      <c r="EI75" s="15"/>
      <c r="EJ75" s="15"/>
      <c r="EK75" s="15"/>
      <c r="EL75" s="15"/>
      <c r="EM75" s="15"/>
      <c r="EN75" s="15"/>
      <c r="EO75" s="15"/>
      <c r="EP75" s="15"/>
      <c r="EQ75" s="15"/>
      <c r="ER75" s="15"/>
      <c r="ES75" s="15"/>
      <c r="ET75" s="15"/>
      <c r="EU75" s="15"/>
      <c r="EV75" s="15"/>
      <c r="EW75" s="15"/>
      <c r="EX75" s="15"/>
      <c r="EY75" s="15"/>
      <c r="EZ75" s="15"/>
      <c r="FA75" s="15"/>
      <c r="FB75" s="15"/>
      <c r="FC75" s="15"/>
      <c r="FD75" s="15"/>
      <c r="FE75" s="15"/>
      <c r="FF75" s="15"/>
      <c r="FG75" s="15"/>
      <c r="FH75" s="15"/>
      <c r="FI75" s="15"/>
      <c r="FJ75" s="15"/>
      <c r="FK75" s="15"/>
      <c r="FL75" s="15"/>
      <c r="FM75" s="15"/>
      <c r="FN75" s="15"/>
      <c r="FO75" s="15"/>
      <c r="FP75" s="15"/>
      <c r="FQ75" s="15"/>
      <c r="FR75" s="15"/>
      <c r="FS75" s="15"/>
      <c r="FT75" s="15"/>
      <c r="FU75" s="15"/>
      <c r="FV75" s="15"/>
      <c r="FW75" s="15"/>
      <c r="FX75" s="15"/>
      <c r="FY75" s="15"/>
      <c r="FZ75" s="15"/>
      <c r="GA75" s="15"/>
      <c r="GB75" s="15"/>
      <c r="GC75" s="15"/>
      <c r="GD75" s="15"/>
      <c r="GE75" s="15"/>
      <c r="GF75" s="15"/>
      <c r="GG75" s="15"/>
      <c r="GH75" s="15"/>
      <c r="GI75" s="15"/>
      <c r="GJ75" s="15"/>
      <c r="GK75" s="15"/>
      <c r="GL75" s="15"/>
      <c r="GM75" s="15"/>
      <c r="GN75" s="15"/>
      <c r="GO75" s="15"/>
      <c r="GP75" s="15"/>
      <c r="GQ75" s="15"/>
      <c r="GR75" s="15"/>
      <c r="GS75" s="15"/>
      <c r="GT75" s="15"/>
      <c r="GU75" s="15"/>
      <c r="GV75" s="15"/>
      <c r="GW75" s="15"/>
      <c r="GX75" s="15"/>
      <c r="GY75" s="15"/>
      <c r="GZ75" s="15"/>
      <c r="HA75" s="15"/>
      <c r="HB75" s="15"/>
      <c r="HC75" s="15"/>
      <c r="HD75" s="15"/>
      <c r="HE75" s="15"/>
      <c r="HF75" s="15"/>
      <c r="HG75" s="15"/>
      <c r="HH75" s="15"/>
      <c r="HI75" s="15"/>
      <c r="HJ75" s="15"/>
      <c r="HK75" s="15"/>
      <c r="HL75" s="15"/>
      <c r="HM75" s="15"/>
      <c r="HN75" s="15"/>
      <c r="HO75" s="15"/>
      <c r="HP75" s="15"/>
      <c r="HQ75" s="15"/>
      <c r="HR75" s="15"/>
      <c r="HS75" s="15"/>
      <c r="HT75" s="15"/>
      <c r="HU75" s="15"/>
      <c r="HV75" s="15"/>
      <c r="HW75" s="15"/>
      <c r="HX75" s="15"/>
      <c r="HY75" s="15"/>
      <c r="HZ75" s="15"/>
      <c r="IA75" s="15"/>
      <c r="IB75" s="15"/>
      <c r="IC75" s="15"/>
      <c r="ID75" s="15"/>
      <c r="IE75" s="15"/>
      <c r="IF75" s="15"/>
      <c r="IG75" s="15"/>
    </row>
    <row r="76" spans="2:241" s="16" customFormat="1" ht="25.05" hidden="1" customHeight="1" x14ac:dyDescent="0.3">
      <c r="B76" s="600"/>
      <c r="C76" s="395" t="s">
        <v>204</v>
      </c>
      <c r="D76" s="382" t="str">
        <f>'สรุปใช้งบ 31กค'!B43</f>
        <v>1800009031</v>
      </c>
      <c r="E76" s="504" t="s">
        <v>220</v>
      </c>
      <c r="F76" s="617" t="s">
        <v>221</v>
      </c>
      <c r="G76" s="617"/>
      <c r="H76" s="455">
        <v>7</v>
      </c>
      <c r="I76" s="460">
        <f t="shared" ref="I76:I77" si="11">L76</f>
        <v>56000</v>
      </c>
      <c r="J76" s="455" t="s">
        <v>20</v>
      </c>
      <c r="K76" s="457">
        <v>0</v>
      </c>
      <c r="L76" s="379">
        <f>'สรุปใช้งบ 31กค'!H43</f>
        <v>56000</v>
      </c>
      <c r="M76" s="42">
        <f>'สรุปใช้งบ 31กค'!L43</f>
        <v>48685</v>
      </c>
      <c r="N76" s="468">
        <f t="shared" si="6"/>
        <v>1</v>
      </c>
      <c r="O76" s="385">
        <v>0</v>
      </c>
      <c r="P76" s="388">
        <v>0</v>
      </c>
      <c r="Q76" s="468">
        <f t="shared" si="9"/>
        <v>-1</v>
      </c>
      <c r="R76" s="49" t="str">
        <f t="shared" si="10"/>
        <v>ลดลง</v>
      </c>
      <c r="S76" s="519" t="str">
        <f>'สรุปใช้งบ 31กค'!S42</f>
        <v xml:space="preserve">1.รอง ผอ.อนุมัติ PR แล้ว เมื่อ 27 ก.ค. 69
2.คาดว่าเซ็นสัญญาไม่เกิน เดือน ส.ค. 69 </v>
      </c>
      <c r="T76" s="391" t="str">
        <f t="shared" si="8"/>
        <v xml:space="preserve"> --</v>
      </c>
      <c r="U76" s="392">
        <f t="shared" si="8"/>
        <v>0</v>
      </c>
      <c r="V76" s="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15"/>
      <c r="BR76" s="15"/>
      <c r="BS76" s="15"/>
      <c r="BT76" s="15"/>
      <c r="BU76" s="15"/>
      <c r="BV76" s="15"/>
      <c r="BW76" s="15"/>
      <c r="BX76" s="15"/>
      <c r="BY76" s="15"/>
      <c r="BZ76" s="15"/>
      <c r="CA76" s="15"/>
      <c r="CB76" s="15"/>
      <c r="CC76" s="15"/>
      <c r="CD76" s="15"/>
      <c r="CE76" s="15"/>
      <c r="CF76" s="15"/>
      <c r="CG76" s="15"/>
      <c r="CH76" s="15"/>
      <c r="CI76" s="15"/>
      <c r="CJ76" s="15"/>
      <c r="CK76" s="15"/>
      <c r="CL76" s="15"/>
      <c r="CM76" s="15"/>
      <c r="CN76" s="15"/>
      <c r="CO76" s="15"/>
      <c r="CP76" s="15"/>
      <c r="CQ76" s="15"/>
      <c r="CR76" s="15"/>
      <c r="CS76" s="15"/>
      <c r="CT76" s="15"/>
      <c r="CU76" s="15"/>
      <c r="CV76" s="15"/>
      <c r="CW76" s="15"/>
      <c r="CX76" s="15"/>
      <c r="CY76" s="15"/>
      <c r="CZ76" s="15"/>
      <c r="DA76" s="15"/>
      <c r="DB76" s="15"/>
      <c r="DC76" s="15"/>
      <c r="DD76" s="15"/>
      <c r="DE76" s="15"/>
      <c r="DF76" s="15"/>
      <c r="DG76" s="15"/>
      <c r="DH76" s="15"/>
      <c r="DI76" s="15"/>
      <c r="DJ76" s="15"/>
      <c r="DK76" s="15"/>
      <c r="DL76" s="15"/>
      <c r="DM76" s="15"/>
      <c r="DN76" s="15"/>
      <c r="DO76" s="15"/>
      <c r="DP76" s="15"/>
      <c r="DQ76" s="15"/>
      <c r="DR76" s="15"/>
      <c r="DS76" s="15"/>
      <c r="DT76" s="15"/>
      <c r="DU76" s="15"/>
      <c r="DV76" s="15"/>
      <c r="DW76" s="15"/>
      <c r="DX76" s="15"/>
      <c r="DY76" s="15"/>
      <c r="DZ76" s="15"/>
      <c r="EA76" s="15"/>
      <c r="EB76" s="15"/>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c r="FV76" s="15"/>
      <c r="FW76" s="15"/>
      <c r="FX76" s="15"/>
      <c r="FY76" s="15"/>
      <c r="FZ76" s="15"/>
      <c r="GA76" s="15"/>
      <c r="GB76" s="15"/>
      <c r="GC76" s="15"/>
      <c r="GD76" s="15"/>
      <c r="GE76" s="15"/>
      <c r="GF76" s="15"/>
      <c r="GG76" s="15"/>
      <c r="GH76" s="15"/>
      <c r="GI76" s="15"/>
      <c r="GJ76" s="15"/>
      <c r="GK76" s="15"/>
      <c r="GL76" s="15"/>
      <c r="GM76" s="15"/>
      <c r="GN76" s="15"/>
      <c r="GO76" s="15"/>
      <c r="GP76" s="15"/>
      <c r="GQ76" s="15"/>
      <c r="GR76" s="15"/>
      <c r="GS76" s="15"/>
      <c r="GT76" s="15"/>
      <c r="GU76" s="15"/>
      <c r="GV76" s="15"/>
      <c r="GW76" s="15"/>
      <c r="GX76" s="15"/>
      <c r="GY76" s="15"/>
      <c r="GZ76" s="15"/>
      <c r="HA76" s="15"/>
      <c r="HB76" s="15"/>
      <c r="HC76" s="15"/>
      <c r="HD76" s="15"/>
      <c r="HE76" s="15"/>
      <c r="HF76" s="15"/>
      <c r="HG76" s="15"/>
      <c r="HH76" s="15"/>
      <c r="HI76" s="15"/>
      <c r="HJ76" s="15"/>
      <c r="HK76" s="15"/>
      <c r="HL76" s="15"/>
      <c r="HM76" s="15"/>
      <c r="HN76" s="15"/>
      <c r="HO76" s="15"/>
      <c r="HP76" s="15"/>
      <c r="HQ76" s="15"/>
      <c r="HR76" s="15"/>
      <c r="HS76" s="15"/>
      <c r="HT76" s="15"/>
      <c r="HU76" s="15"/>
      <c r="HV76" s="15"/>
      <c r="HW76" s="15"/>
      <c r="HX76" s="15"/>
      <c r="HY76" s="15"/>
      <c r="HZ76" s="15"/>
      <c r="IA76" s="15"/>
      <c r="IB76" s="15"/>
      <c r="IC76" s="15"/>
      <c r="ID76" s="15"/>
      <c r="IE76" s="15"/>
      <c r="IF76" s="15"/>
      <c r="IG76" s="15"/>
    </row>
    <row r="77" spans="2:241" s="16" customFormat="1" ht="36.700000000000003" hidden="1" customHeight="1" x14ac:dyDescent="0.3">
      <c r="B77" s="600"/>
      <c r="C77" s="395" t="s">
        <v>204</v>
      </c>
      <c r="D77" s="382" t="str">
        <f>'สรุปใช้งบ 31กค'!B46</f>
        <v>1800009013</v>
      </c>
      <c r="E77" s="504" t="s">
        <v>222</v>
      </c>
      <c r="F77" s="605" t="s">
        <v>223</v>
      </c>
      <c r="G77" s="606"/>
      <c r="H77" s="455">
        <v>8</v>
      </c>
      <c r="I77" s="460">
        <f t="shared" si="11"/>
        <v>1753800</v>
      </c>
      <c r="J77" s="455" t="s">
        <v>20</v>
      </c>
      <c r="K77" s="457">
        <v>0</v>
      </c>
      <c r="L77" s="379">
        <f>'สรุปใช้งบ 31กค'!H46</f>
        <v>1753800</v>
      </c>
      <c r="M77" s="42">
        <f>'สรุปใช้งบ 31กค'!L46</f>
        <v>1430000</v>
      </c>
      <c r="N77" s="468">
        <f t="shared" si="6"/>
        <v>1</v>
      </c>
      <c r="O77" s="385">
        <v>0</v>
      </c>
      <c r="P77" s="388">
        <v>0</v>
      </c>
      <c r="Q77" s="468">
        <f t="shared" si="9"/>
        <v>-1</v>
      </c>
      <c r="R77" s="49" t="str">
        <f t="shared" si="10"/>
        <v>ลดลง</v>
      </c>
      <c r="S77" s="519" t="str">
        <f>'สรุปใช้งบ 31กค'!S46</f>
        <v>1.ผอ.อนุมัติ PR แล้ว เมื่อ 15 พ.ค. 69
2.คาดว่าเซ็นสัญญาไม่เกิน เดือน ส.ค. 69 
3.งบเหลือ 3.2 แสนบาท</v>
      </c>
      <c r="T77" s="391" t="str">
        <f t="shared" si="8"/>
        <v xml:space="preserve"> --</v>
      </c>
      <c r="U77" s="392">
        <f t="shared" si="8"/>
        <v>0</v>
      </c>
      <c r="V77" s="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15"/>
      <c r="BQ77" s="15"/>
      <c r="BR77" s="15"/>
      <c r="BS77" s="15"/>
      <c r="BT77" s="15"/>
      <c r="BU77" s="15"/>
      <c r="BV77" s="15"/>
      <c r="BW77" s="15"/>
      <c r="BX77" s="15"/>
      <c r="BY77" s="15"/>
      <c r="BZ77" s="15"/>
      <c r="CA77" s="15"/>
      <c r="CB77" s="15"/>
      <c r="CC77" s="15"/>
      <c r="CD77" s="15"/>
      <c r="CE77" s="15"/>
      <c r="CF77" s="15"/>
      <c r="CG77" s="15"/>
      <c r="CH77" s="15"/>
      <c r="CI77" s="15"/>
      <c r="CJ77" s="15"/>
      <c r="CK77" s="15"/>
      <c r="CL77" s="15"/>
      <c r="CM77" s="15"/>
      <c r="CN77" s="15"/>
      <c r="CO77" s="15"/>
      <c r="CP77" s="15"/>
      <c r="CQ77" s="15"/>
      <c r="CR77" s="15"/>
      <c r="CS77" s="15"/>
      <c r="CT77" s="15"/>
      <c r="CU77" s="15"/>
      <c r="CV77" s="15"/>
      <c r="CW77" s="15"/>
      <c r="CX77" s="15"/>
      <c r="CY77" s="15"/>
      <c r="CZ77" s="15"/>
      <c r="DA77" s="15"/>
      <c r="DB77" s="15"/>
      <c r="DC77" s="15"/>
      <c r="DD77" s="15"/>
      <c r="DE77" s="15"/>
      <c r="DF77" s="15"/>
      <c r="DG77" s="15"/>
      <c r="DH77" s="15"/>
      <c r="DI77" s="15"/>
      <c r="DJ77" s="15"/>
      <c r="DK77" s="15"/>
      <c r="DL77" s="15"/>
      <c r="DM77" s="15"/>
      <c r="DN77" s="15"/>
      <c r="DO77" s="15"/>
      <c r="DP77" s="15"/>
      <c r="DQ77" s="15"/>
      <c r="DR77" s="15"/>
      <c r="DS77" s="15"/>
      <c r="DT77" s="15"/>
      <c r="DU77" s="15"/>
      <c r="DV77" s="15"/>
      <c r="DW77" s="15"/>
      <c r="DX77" s="15"/>
      <c r="DY77" s="15"/>
      <c r="DZ77" s="15"/>
      <c r="EA77" s="15"/>
      <c r="EB77" s="15"/>
      <c r="EC77" s="15"/>
      <c r="ED77" s="15"/>
      <c r="EE77" s="15"/>
      <c r="EF77" s="15"/>
      <c r="EG77" s="15"/>
      <c r="EH77" s="15"/>
      <c r="EI77" s="15"/>
      <c r="EJ77" s="15"/>
      <c r="EK77" s="15"/>
      <c r="EL77" s="15"/>
      <c r="EM77" s="15"/>
      <c r="EN77" s="15"/>
      <c r="EO77" s="15"/>
      <c r="EP77" s="15"/>
      <c r="EQ77" s="15"/>
      <c r="ER77" s="15"/>
      <c r="ES77" s="15"/>
      <c r="ET77" s="15"/>
      <c r="EU77" s="15"/>
      <c r="EV77" s="15"/>
      <c r="EW77" s="15"/>
      <c r="EX77" s="15"/>
      <c r="EY77" s="15"/>
      <c r="EZ77" s="15"/>
      <c r="FA77" s="15"/>
      <c r="FB77" s="15"/>
      <c r="FC77" s="15"/>
      <c r="FD77" s="15"/>
      <c r="FE77" s="15"/>
      <c r="FF77" s="15"/>
      <c r="FG77" s="15"/>
      <c r="FH77" s="15"/>
      <c r="FI77" s="15"/>
      <c r="FJ77" s="15"/>
      <c r="FK77" s="15"/>
      <c r="FL77" s="15"/>
      <c r="FM77" s="15"/>
      <c r="FN77" s="15"/>
      <c r="FO77" s="15"/>
      <c r="FP77" s="15"/>
      <c r="FQ77" s="15"/>
      <c r="FR77" s="15"/>
      <c r="FS77" s="15"/>
      <c r="FT77" s="15"/>
      <c r="FU77" s="15"/>
      <c r="FV77" s="15"/>
      <c r="FW77" s="15"/>
      <c r="FX77" s="15"/>
      <c r="FY77" s="15"/>
      <c r="FZ77" s="15"/>
      <c r="GA77" s="15"/>
      <c r="GB77" s="15"/>
      <c r="GC77" s="15"/>
      <c r="GD77" s="15"/>
      <c r="GE77" s="15"/>
      <c r="GF77" s="15"/>
      <c r="GG77" s="15"/>
      <c r="GH77" s="15"/>
      <c r="GI77" s="15"/>
      <c r="GJ77" s="15"/>
      <c r="GK77" s="15"/>
      <c r="GL77" s="15"/>
      <c r="GM77" s="15"/>
      <c r="GN77" s="15"/>
      <c r="GO77" s="15"/>
      <c r="GP77" s="15"/>
      <c r="GQ77" s="15"/>
      <c r="GR77" s="15"/>
      <c r="GS77" s="15"/>
      <c r="GT77" s="15"/>
      <c r="GU77" s="15"/>
      <c r="GV77" s="15"/>
      <c r="GW77" s="15"/>
      <c r="GX77" s="15"/>
      <c r="GY77" s="15"/>
      <c r="GZ77" s="15"/>
      <c r="HA77" s="15"/>
      <c r="HB77" s="15"/>
      <c r="HC77" s="15"/>
      <c r="HD77" s="15"/>
      <c r="HE77" s="15"/>
      <c r="HF77" s="15"/>
      <c r="HG77" s="15"/>
      <c r="HH77" s="15"/>
      <c r="HI77" s="15"/>
      <c r="HJ77" s="15"/>
      <c r="HK77" s="15"/>
      <c r="HL77" s="15"/>
      <c r="HM77" s="15"/>
      <c r="HN77" s="15"/>
      <c r="HO77" s="15"/>
      <c r="HP77" s="15"/>
      <c r="HQ77" s="15"/>
      <c r="HR77" s="15"/>
      <c r="HS77" s="15"/>
      <c r="HT77" s="15"/>
      <c r="HU77" s="15"/>
      <c r="HV77" s="15"/>
      <c r="HW77" s="15"/>
      <c r="HX77" s="15"/>
      <c r="HY77" s="15"/>
      <c r="HZ77" s="15"/>
      <c r="IA77" s="15"/>
      <c r="IB77" s="15"/>
      <c r="IC77" s="15"/>
      <c r="ID77" s="15"/>
      <c r="IE77" s="15"/>
      <c r="IF77" s="15"/>
      <c r="IG77" s="15"/>
    </row>
    <row r="78" spans="2:241" s="16" customFormat="1" ht="35.200000000000003" hidden="1" customHeight="1" x14ac:dyDescent="0.3">
      <c r="B78" s="600"/>
      <c r="C78" s="395" t="s">
        <v>204</v>
      </c>
      <c r="D78" s="382" t="str">
        <f>'สรุปใช้งบ 31กค'!B47</f>
        <v>2802609007</v>
      </c>
      <c r="E78" s="504" t="s">
        <v>224</v>
      </c>
      <c r="F78" s="617" t="s">
        <v>225</v>
      </c>
      <c r="G78" s="617"/>
      <c r="H78" s="455">
        <v>1</v>
      </c>
      <c r="I78" s="460">
        <f>'สรุปใช้งบ 31กค'!H47</f>
        <v>13369200</v>
      </c>
      <c r="J78" s="455" t="s">
        <v>20</v>
      </c>
      <c r="K78" s="457">
        <v>0</v>
      </c>
      <c r="L78" s="379">
        <f>'สรุปใช้งบ 31กค'!H47</f>
        <v>13369200</v>
      </c>
      <c r="M78" s="389">
        <f>'สรุปใช้งบ 31กค'!L47</f>
        <v>13100000</v>
      </c>
      <c r="N78" s="468">
        <f t="shared" si="6"/>
        <v>1</v>
      </c>
      <c r="O78" s="385">
        <v>0</v>
      </c>
      <c r="P78" s="388">
        <v>0</v>
      </c>
      <c r="Q78" s="468">
        <f t="shared" si="9"/>
        <v>-1</v>
      </c>
      <c r="R78" s="49" t="str">
        <f t="shared" si="10"/>
        <v>ลดลง</v>
      </c>
      <c r="S78" s="519" t="str">
        <f>'สรุปใช้งบ 31กค'!S47</f>
        <v>1.ผอ.อนุมัติ PR แล้ว เมื่อ 21 พ.ค. 69
2.คาดว่าเซ็นสัญญาไม่เกิน เดือน ส.ค. 69 
3.งบเหลือ 2.7 แสนบาท</v>
      </c>
      <c r="T78" s="391" t="str">
        <f t="shared" si="8"/>
        <v xml:space="preserve"> --</v>
      </c>
      <c r="U78" s="392">
        <f t="shared" si="8"/>
        <v>0</v>
      </c>
      <c r="V78" s="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c r="CJ78" s="15"/>
      <c r="CK78" s="15"/>
      <c r="CL78" s="15"/>
      <c r="CM78" s="15"/>
      <c r="CN78" s="15"/>
      <c r="CO78" s="15"/>
      <c r="CP78" s="15"/>
      <c r="CQ78" s="15"/>
      <c r="CR78" s="15"/>
      <c r="CS78" s="15"/>
      <c r="CT78" s="15"/>
      <c r="CU78" s="15"/>
      <c r="CV78" s="15"/>
      <c r="CW78" s="15"/>
      <c r="CX78" s="15"/>
      <c r="CY78" s="15"/>
      <c r="CZ78" s="15"/>
      <c r="DA78" s="15"/>
      <c r="DB78" s="15"/>
      <c r="DC78" s="15"/>
      <c r="DD78" s="15"/>
      <c r="DE78" s="15"/>
      <c r="DF78" s="15"/>
      <c r="DG78" s="15"/>
      <c r="DH78" s="15"/>
      <c r="DI78" s="15"/>
      <c r="DJ78" s="15"/>
      <c r="DK78" s="15"/>
      <c r="DL78" s="15"/>
      <c r="DM78" s="15"/>
      <c r="DN78" s="15"/>
      <c r="DO78" s="15"/>
      <c r="DP78" s="15"/>
      <c r="DQ78" s="15"/>
      <c r="DR78" s="15"/>
      <c r="DS78" s="15"/>
      <c r="DT78" s="15"/>
      <c r="DU78" s="15"/>
      <c r="DV78" s="15"/>
      <c r="DW78" s="15"/>
      <c r="DX78" s="15"/>
      <c r="DY78" s="15"/>
      <c r="DZ78" s="15"/>
      <c r="EA78" s="15"/>
      <c r="EB78" s="15"/>
      <c r="EC78" s="15"/>
      <c r="ED78" s="15"/>
      <c r="EE78" s="15"/>
      <c r="EF78" s="15"/>
      <c r="EG78" s="15"/>
      <c r="EH78" s="15"/>
      <c r="EI78" s="15"/>
      <c r="EJ78" s="15"/>
      <c r="EK78" s="15"/>
      <c r="EL78" s="15"/>
      <c r="EM78" s="15"/>
      <c r="EN78" s="15"/>
      <c r="EO78" s="15"/>
      <c r="EP78" s="15"/>
      <c r="EQ78" s="15"/>
      <c r="ER78" s="15"/>
      <c r="ES78" s="15"/>
      <c r="ET78" s="15"/>
      <c r="EU78" s="15"/>
      <c r="EV78" s="15"/>
      <c r="EW78" s="15"/>
      <c r="EX78" s="15"/>
      <c r="EY78" s="15"/>
      <c r="EZ78" s="15"/>
      <c r="FA78" s="15"/>
      <c r="FB78" s="15"/>
      <c r="FC78" s="15"/>
      <c r="FD78" s="15"/>
      <c r="FE78" s="15"/>
      <c r="FF78" s="15"/>
      <c r="FG78" s="15"/>
      <c r="FH78" s="15"/>
      <c r="FI78" s="15"/>
      <c r="FJ78" s="15"/>
      <c r="FK78" s="15"/>
      <c r="FL78" s="15"/>
      <c r="FM78" s="15"/>
      <c r="FN78" s="15"/>
      <c r="FO78" s="15"/>
      <c r="FP78" s="15"/>
      <c r="FQ78" s="15"/>
      <c r="FR78" s="15"/>
      <c r="FS78" s="15"/>
      <c r="FT78" s="15"/>
      <c r="FU78" s="15"/>
      <c r="FV78" s="15"/>
      <c r="FW78" s="15"/>
      <c r="FX78" s="15"/>
      <c r="FY78" s="15"/>
      <c r="FZ78" s="15"/>
      <c r="GA78" s="15"/>
      <c r="GB78" s="15"/>
      <c r="GC78" s="15"/>
      <c r="GD78" s="15"/>
      <c r="GE78" s="15"/>
      <c r="GF78" s="15"/>
      <c r="GG78" s="15"/>
      <c r="GH78" s="15"/>
      <c r="GI78" s="15"/>
      <c r="GJ78" s="15"/>
      <c r="GK78" s="15"/>
      <c r="GL78" s="15"/>
      <c r="GM78" s="15"/>
      <c r="GN78" s="15"/>
      <c r="GO78" s="15"/>
      <c r="GP78" s="15"/>
      <c r="GQ78" s="15"/>
      <c r="GR78" s="15"/>
      <c r="GS78" s="15"/>
      <c r="GT78" s="15"/>
      <c r="GU78" s="15"/>
      <c r="GV78" s="15"/>
      <c r="GW78" s="15"/>
      <c r="GX78" s="15"/>
      <c r="GY78" s="15"/>
      <c r="GZ78" s="15"/>
      <c r="HA78" s="15"/>
      <c r="HB78" s="15"/>
      <c r="HC78" s="15"/>
      <c r="HD78" s="15"/>
      <c r="HE78" s="15"/>
      <c r="HF78" s="15"/>
      <c r="HG78" s="15"/>
      <c r="HH78" s="15"/>
      <c r="HI78" s="15"/>
      <c r="HJ78" s="15"/>
      <c r="HK78" s="15"/>
      <c r="HL78" s="15"/>
      <c r="HM78" s="15"/>
      <c r="HN78" s="15"/>
      <c r="HO78" s="15"/>
      <c r="HP78" s="15"/>
      <c r="HQ78" s="15"/>
      <c r="HR78" s="15"/>
      <c r="HS78" s="15"/>
      <c r="HT78" s="15"/>
      <c r="HU78" s="15"/>
      <c r="HV78" s="15"/>
      <c r="HW78" s="15"/>
      <c r="HX78" s="15"/>
      <c r="HY78" s="15"/>
      <c r="HZ78" s="15"/>
      <c r="IA78" s="15"/>
      <c r="IB78" s="15"/>
      <c r="IC78" s="15"/>
      <c r="ID78" s="15"/>
      <c r="IE78" s="15"/>
      <c r="IF78" s="15"/>
      <c r="IG78" s="15"/>
    </row>
    <row r="79" spans="2:241" s="16" customFormat="1" ht="25.05" hidden="1" customHeight="1" x14ac:dyDescent="0.3">
      <c r="B79" s="600"/>
      <c r="C79" s="395" t="s">
        <v>204</v>
      </c>
      <c r="D79" s="382" t="str">
        <f>'สรุปใช้งบ 31กค'!B49</f>
        <v>2802509002</v>
      </c>
      <c r="E79" s="504" t="s">
        <v>226</v>
      </c>
      <c r="F79" s="660" t="str">
        <f>'สรุปใช้งบ 31กค'!C49</f>
        <v>งานติดตั้งระบบกล้องวงจรปิด CCTV วังบางขุนพรหม วังเทเวศร์ อาคาร 6</v>
      </c>
      <c r="G79" s="661"/>
      <c r="H79" s="455">
        <v>1</v>
      </c>
      <c r="I79" s="461">
        <f>'สรุปใช้งบ 31กค'!H49</f>
        <v>4651200</v>
      </c>
      <c r="J79" s="455" t="s">
        <v>20</v>
      </c>
      <c r="K79" s="457">
        <v>0</v>
      </c>
      <c r="L79" s="379">
        <f>'สรุปใช้งบ 31กค'!H49</f>
        <v>4651200</v>
      </c>
      <c r="M79" s="42">
        <f>'สรุปใช้งบ 31กค'!L49</f>
        <v>4650000</v>
      </c>
      <c r="N79" s="468">
        <f t="shared" si="6"/>
        <v>1</v>
      </c>
      <c r="O79" s="385">
        <v>0</v>
      </c>
      <c r="P79" s="388">
        <v>0</v>
      </c>
      <c r="Q79" s="468">
        <f t="shared" si="9"/>
        <v>-1</v>
      </c>
      <c r="R79" s="49" t="str">
        <f t="shared" si="10"/>
        <v>ลดลง</v>
      </c>
      <c r="S79" s="519" t="str">
        <f>'สรุปใช้งบ 31กค'!S49</f>
        <v>เสร็จแล้ว ตรวจรับแล้ว 2 เม.ย. 69 /ส่งมอบ 22 มิ.ย. 69</v>
      </c>
      <c r="T79" s="391" t="str">
        <f t="shared" si="8"/>
        <v xml:space="preserve"> --</v>
      </c>
      <c r="U79" s="392">
        <f t="shared" si="8"/>
        <v>0</v>
      </c>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c r="CJ79" s="15"/>
      <c r="CK79" s="15"/>
      <c r="CL79" s="15"/>
      <c r="CM79" s="15"/>
      <c r="CN79" s="15"/>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c r="EY79" s="15"/>
      <c r="EZ79" s="15"/>
      <c r="FA79" s="15"/>
      <c r="FB79" s="15"/>
      <c r="FC79" s="15"/>
      <c r="FD79" s="15"/>
      <c r="FE79" s="15"/>
      <c r="FF79" s="15"/>
      <c r="FG79" s="15"/>
      <c r="FH79" s="15"/>
      <c r="FI79" s="15"/>
      <c r="FJ79" s="15"/>
      <c r="FK79" s="15"/>
      <c r="FL79" s="15"/>
      <c r="FM79" s="15"/>
      <c r="FN79" s="15"/>
      <c r="FO79" s="15"/>
      <c r="FP79" s="15"/>
      <c r="FQ79" s="15"/>
      <c r="FR79" s="15"/>
      <c r="FS79" s="15"/>
      <c r="FT79" s="15"/>
      <c r="FU79" s="15"/>
      <c r="FV79" s="15"/>
      <c r="FW79" s="15"/>
      <c r="FX79" s="15"/>
      <c r="FY79" s="15"/>
      <c r="FZ79" s="15"/>
      <c r="GA79" s="15"/>
      <c r="GB79" s="15"/>
      <c r="GC79" s="15"/>
      <c r="GD79" s="15"/>
      <c r="GE79" s="15"/>
      <c r="GF79" s="15"/>
      <c r="GG79" s="15"/>
      <c r="GH79" s="15"/>
      <c r="GI79" s="15"/>
      <c r="GJ79" s="15"/>
      <c r="GK79" s="15"/>
      <c r="GL79" s="15"/>
      <c r="GM79" s="15"/>
      <c r="GN79" s="15"/>
      <c r="GO79" s="15"/>
      <c r="GP79" s="15"/>
      <c r="GQ79" s="15"/>
      <c r="GR79" s="15"/>
      <c r="GS79" s="15"/>
      <c r="GT79" s="15"/>
      <c r="GU79" s="15"/>
      <c r="GV79" s="15"/>
      <c r="GW79" s="15"/>
      <c r="GX79" s="15"/>
      <c r="GY79" s="15"/>
      <c r="GZ79" s="15"/>
      <c r="HA79" s="15"/>
      <c r="HB79" s="15"/>
      <c r="HC79" s="15"/>
      <c r="HD79" s="15"/>
      <c r="HE79" s="15"/>
      <c r="HF79" s="15"/>
      <c r="HG79" s="15"/>
      <c r="HH79" s="15"/>
      <c r="HI79" s="15"/>
      <c r="HJ79" s="15"/>
      <c r="HK79" s="15"/>
      <c r="HL79" s="15"/>
      <c r="HM79" s="15"/>
      <c r="HN79" s="15"/>
      <c r="HO79" s="15"/>
      <c r="HP79" s="15"/>
      <c r="HQ79" s="15"/>
      <c r="HR79" s="15"/>
      <c r="HS79" s="15"/>
      <c r="HT79" s="15"/>
      <c r="HU79" s="15"/>
      <c r="HV79" s="15"/>
      <c r="HW79" s="15"/>
      <c r="HX79" s="15"/>
      <c r="HY79" s="15"/>
      <c r="HZ79" s="15"/>
      <c r="IA79" s="15"/>
      <c r="IB79" s="15"/>
      <c r="IC79" s="15"/>
      <c r="ID79" s="15"/>
      <c r="IE79" s="15"/>
      <c r="IF79" s="15"/>
      <c r="IG79" s="15"/>
    </row>
    <row r="80" spans="2:241" s="16" customFormat="1" ht="25.05" hidden="1" customHeight="1" x14ac:dyDescent="0.3">
      <c r="B80" s="600"/>
      <c r="C80" s="395" t="s">
        <v>204</v>
      </c>
      <c r="D80" s="382" t="str">
        <f>'สรุปใช้งบ 31กค'!B50</f>
        <v>2802509003</v>
      </c>
      <c r="E80" s="382" t="s">
        <v>227</v>
      </c>
      <c r="F80" s="660" t="str">
        <f>'สรุปใช้งบ 31กค'!C50</f>
        <v>งานติดตั้งระบบกล้องวงจรปิด CCTV ห้องประชุมส่วนกลางอาคาร 1, 2, 7</v>
      </c>
      <c r="G80" s="661"/>
      <c r="H80" s="455">
        <v>1</v>
      </c>
      <c r="I80" s="461">
        <f>'สรุปใช้งบ 31กค'!H50</f>
        <v>1190000</v>
      </c>
      <c r="J80" s="455" t="s">
        <v>20</v>
      </c>
      <c r="K80" s="457">
        <v>0</v>
      </c>
      <c r="L80" s="404">
        <f>'สรุปใช้งบ 31กค'!H50</f>
        <v>1190000</v>
      </c>
      <c r="M80" s="405">
        <f>'สรุปใช้งบ 31กค'!L50</f>
        <v>1180000</v>
      </c>
      <c r="N80" s="468">
        <f t="shared" si="6"/>
        <v>1</v>
      </c>
      <c r="O80" s="385">
        <v>0</v>
      </c>
      <c r="P80" s="388">
        <v>0</v>
      </c>
      <c r="Q80" s="468">
        <f t="shared" si="9"/>
        <v>-1</v>
      </c>
      <c r="R80" s="49" t="str">
        <f t="shared" si="10"/>
        <v>ลดลง</v>
      </c>
      <c r="S80" s="519" t="str">
        <f>'สรุปใช้งบ 31กค'!S50</f>
        <v>เสร็จแล้ว ตรวจรับแล้ว 3 ก.พ. 69 /ส่งมอบ 22 ก.พ. 69</v>
      </c>
      <c r="T80" s="391" t="str">
        <f t="shared" si="8"/>
        <v xml:space="preserve"> --</v>
      </c>
      <c r="U80" s="392">
        <f t="shared" si="8"/>
        <v>0</v>
      </c>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c r="CJ80" s="15"/>
      <c r="CK80" s="15"/>
      <c r="CL80" s="15"/>
      <c r="CM80" s="15"/>
      <c r="CN80" s="15"/>
      <c r="CO80" s="15"/>
      <c r="CP80" s="15"/>
      <c r="CQ80" s="15"/>
      <c r="CR80" s="15"/>
      <c r="CS80" s="15"/>
      <c r="CT80" s="15"/>
      <c r="CU80" s="15"/>
      <c r="CV80" s="15"/>
      <c r="CW80" s="15"/>
      <c r="CX80" s="15"/>
      <c r="CY80" s="15"/>
      <c r="CZ80" s="15"/>
      <c r="DA80" s="15"/>
      <c r="DB80" s="15"/>
      <c r="DC80" s="15"/>
      <c r="DD80" s="15"/>
      <c r="DE80" s="15"/>
      <c r="DF80" s="15"/>
      <c r="DG80" s="15"/>
      <c r="DH80" s="15"/>
      <c r="DI80" s="15"/>
      <c r="DJ80" s="15"/>
      <c r="DK80" s="15"/>
      <c r="DL80" s="15"/>
      <c r="DM80" s="15"/>
      <c r="DN80" s="15"/>
      <c r="DO80" s="15"/>
      <c r="DP80" s="15"/>
      <c r="DQ80" s="15"/>
      <c r="DR80" s="15"/>
      <c r="DS80" s="15"/>
      <c r="DT80" s="15"/>
      <c r="DU80" s="15"/>
      <c r="DV80" s="15"/>
      <c r="DW80" s="15"/>
      <c r="DX80" s="15"/>
      <c r="DY80" s="15"/>
      <c r="DZ80" s="15"/>
      <c r="EA80" s="15"/>
      <c r="EB80" s="15"/>
      <c r="EC80" s="15"/>
      <c r="ED80" s="15"/>
      <c r="EE80" s="15"/>
      <c r="EF80" s="15"/>
      <c r="EG80" s="15"/>
      <c r="EH80" s="15"/>
      <c r="EI80" s="15"/>
      <c r="EJ80" s="15"/>
      <c r="EK80" s="15"/>
      <c r="EL80" s="15"/>
      <c r="EM80" s="15"/>
      <c r="EN80" s="15"/>
      <c r="EO80" s="15"/>
      <c r="EP80" s="15"/>
      <c r="EQ80" s="15"/>
      <c r="ER80" s="15"/>
      <c r="ES80" s="15"/>
      <c r="ET80" s="15"/>
      <c r="EU80" s="15"/>
      <c r="EV80" s="15"/>
      <c r="EW80" s="15"/>
      <c r="EX80" s="15"/>
      <c r="EY80" s="15"/>
      <c r="EZ80" s="15"/>
      <c r="FA80" s="15"/>
      <c r="FB80" s="15"/>
      <c r="FC80" s="15"/>
      <c r="FD80" s="15"/>
      <c r="FE80" s="15"/>
      <c r="FF80" s="15"/>
      <c r="FG80" s="15"/>
      <c r="FH80" s="15"/>
      <c r="FI80" s="15"/>
      <c r="FJ80" s="15"/>
      <c r="FK80" s="15"/>
      <c r="FL80" s="15"/>
      <c r="FM80" s="15"/>
      <c r="FN80" s="15"/>
      <c r="FO80" s="15"/>
      <c r="FP80" s="15"/>
      <c r="FQ80" s="15"/>
      <c r="FR80" s="15"/>
      <c r="FS80" s="15"/>
      <c r="FT80" s="15"/>
      <c r="FU80" s="15"/>
      <c r="FV80" s="15"/>
      <c r="FW80" s="15"/>
      <c r="FX80" s="15"/>
      <c r="FY80" s="15"/>
      <c r="FZ80" s="15"/>
      <c r="GA80" s="15"/>
      <c r="GB80" s="15"/>
      <c r="GC80" s="15"/>
      <c r="GD80" s="15"/>
      <c r="GE80" s="15"/>
      <c r="GF80" s="15"/>
      <c r="GG80" s="15"/>
      <c r="GH80" s="15"/>
      <c r="GI80" s="15"/>
      <c r="GJ80" s="15"/>
      <c r="GK80" s="15"/>
      <c r="GL80" s="15"/>
      <c r="GM80" s="15"/>
      <c r="GN80" s="15"/>
      <c r="GO80" s="15"/>
      <c r="GP80" s="15"/>
      <c r="GQ80" s="15"/>
      <c r="GR80" s="15"/>
      <c r="GS80" s="15"/>
      <c r="GT80" s="15"/>
      <c r="GU80" s="15"/>
      <c r="GV80" s="15"/>
      <c r="GW80" s="15"/>
      <c r="GX80" s="15"/>
      <c r="GY80" s="15"/>
      <c r="GZ80" s="15"/>
      <c r="HA80" s="15"/>
      <c r="HB80" s="15"/>
      <c r="HC80" s="15"/>
      <c r="HD80" s="15"/>
      <c r="HE80" s="15"/>
      <c r="HF80" s="15"/>
      <c r="HG80" s="15"/>
      <c r="HH80" s="15"/>
      <c r="HI80" s="15"/>
      <c r="HJ80" s="15"/>
      <c r="HK80" s="15"/>
      <c r="HL80" s="15"/>
      <c r="HM80" s="15"/>
      <c r="HN80" s="15"/>
      <c r="HO80" s="15"/>
      <c r="HP80" s="15"/>
      <c r="HQ80" s="15"/>
      <c r="HR80" s="15"/>
      <c r="HS80" s="15"/>
      <c r="HT80" s="15"/>
      <c r="HU80" s="15"/>
      <c r="HV80" s="15"/>
      <c r="HW80" s="15"/>
      <c r="HX80" s="15"/>
      <c r="HY80" s="15"/>
      <c r="HZ80" s="15"/>
      <c r="IA80" s="15"/>
      <c r="IB80" s="15"/>
      <c r="IC80" s="15"/>
      <c r="ID80" s="15"/>
      <c r="IE80" s="15"/>
      <c r="IF80" s="15"/>
      <c r="IG80" s="15"/>
    </row>
    <row r="81" spans="2:241" s="4" customFormat="1" ht="20.2" customHeight="1" x14ac:dyDescent="0.3">
      <c r="B81" s="46"/>
      <c r="C81" s="396"/>
      <c r="D81" s="668" t="s">
        <v>228</v>
      </c>
      <c r="E81" s="669"/>
      <c r="F81" s="669"/>
      <c r="G81" s="669"/>
      <c r="H81" s="462"/>
      <c r="I81" s="463"/>
      <c r="J81" s="462"/>
      <c r="K81" s="463"/>
      <c r="L81" s="406">
        <f>SUM(L40,L5)</f>
        <v>113586800</v>
      </c>
      <c r="M81" s="406">
        <f>SUM(M40,M5)</f>
        <v>64126681.283333339</v>
      </c>
      <c r="N81" s="484">
        <f t="shared" ref="N81" si="12">IFERROR(M81/L81,1)</f>
        <v>0.56456103423402493</v>
      </c>
      <c r="O81" s="57">
        <f>SUM(O40,O5)</f>
        <v>121049954.375</v>
      </c>
      <c r="P81" s="522">
        <f>O81-L81</f>
        <v>7463154.375</v>
      </c>
      <c r="Q81" s="523">
        <f t="shared" si="9"/>
        <v>6.5704416138142818E-2</v>
      </c>
      <c r="R81" s="49" t="str">
        <f t="shared" si="10"/>
        <v>เพิ่มขึ้น</v>
      </c>
      <c r="S81" s="524" t="s">
        <v>664</v>
      </c>
      <c r="T81" s="11" t="s">
        <v>24</v>
      </c>
      <c r="U81" s="525">
        <f>SUM(U40,U5)</f>
        <v>103563089.375</v>
      </c>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5"/>
      <c r="CD81" s="5"/>
      <c r="CE81" s="5"/>
      <c r="CF81" s="5"/>
      <c r="CG81" s="5"/>
      <c r="CH81" s="5"/>
      <c r="CI81" s="5"/>
      <c r="CJ81" s="5"/>
      <c r="CK81" s="5"/>
      <c r="CL81" s="5"/>
      <c r="CM81" s="5"/>
      <c r="CN81" s="5"/>
      <c r="CO81" s="5"/>
      <c r="CP81" s="5"/>
      <c r="CQ81" s="5"/>
      <c r="CR81" s="5"/>
      <c r="CS81" s="5"/>
      <c r="CT81" s="5"/>
      <c r="CU81" s="5"/>
      <c r="CV81" s="5"/>
      <c r="CW81" s="5"/>
      <c r="CX81" s="5"/>
      <c r="CY81" s="5"/>
      <c r="CZ81" s="5"/>
      <c r="DA81" s="5"/>
      <c r="DB81" s="5"/>
      <c r="DC81" s="5"/>
      <c r="DD81" s="5"/>
      <c r="DE81" s="5"/>
      <c r="DF81" s="5"/>
      <c r="DG81" s="5"/>
      <c r="DH81" s="5"/>
      <c r="DI81" s="5"/>
      <c r="DJ81" s="5"/>
      <c r="DK81" s="5"/>
      <c r="DL81" s="5"/>
      <c r="DM81" s="5"/>
      <c r="DN81" s="5"/>
      <c r="DO81" s="5"/>
      <c r="DP81" s="5"/>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row>
    <row r="85" spans="2:241" x14ac:dyDescent="0.35">
      <c r="D85" t="s">
        <v>229</v>
      </c>
    </row>
    <row r="86" spans="2:241" s="16" customFormat="1" ht="22.5" hidden="1" customHeight="1" x14ac:dyDescent="0.35">
      <c r="B86" s="47"/>
      <c r="C86" s="395"/>
      <c r="D86"/>
      <c r="E86" s="408" t="s">
        <v>144</v>
      </c>
      <c r="F86" s="601" t="s">
        <v>230</v>
      </c>
      <c r="G86" s="602"/>
      <c r="H86" s="450" t="s">
        <v>20</v>
      </c>
      <c r="I86" s="450" t="s">
        <v>20</v>
      </c>
      <c r="J86" s="450"/>
      <c r="K86" s="452"/>
      <c r="L86" s="307">
        <v>0</v>
      </c>
      <c r="M86" s="307">
        <v>0</v>
      </c>
      <c r="N86" s="58">
        <f>IFERROR(M86/L86,1)</f>
        <v>1</v>
      </c>
      <c r="O86" s="56">
        <f t="shared" ref="O86" si="13">K86*J86</f>
        <v>0</v>
      </c>
      <c r="P86" s="59">
        <f>O86-L86</f>
        <v>0</v>
      </c>
      <c r="Q86" s="58"/>
      <c r="R86" s="49" t="str">
        <f>IF(O86&gt;L86,"เพิ่มขึ้น",IF(O86&lt;L86,"ลดลง",IF(O86=L86,"--")))</f>
        <v>--</v>
      </c>
      <c r="S86" s="33"/>
      <c r="T86" s="22"/>
      <c r="U86" s="23"/>
      <c r="V86" s="15">
        <v>5</v>
      </c>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c r="CJ86" s="15"/>
      <c r="CK86" s="15"/>
      <c r="CL86" s="15"/>
      <c r="CM86" s="15"/>
      <c r="CN86" s="15"/>
      <c r="CO86" s="15"/>
      <c r="CP86" s="15"/>
      <c r="CQ86" s="15"/>
      <c r="CR86" s="15"/>
      <c r="CS86" s="15"/>
      <c r="CT86" s="15"/>
      <c r="CU86" s="15"/>
      <c r="CV86" s="15"/>
      <c r="CW86" s="15"/>
      <c r="CX86" s="15"/>
      <c r="CY86" s="15"/>
      <c r="CZ86" s="15"/>
      <c r="DA86" s="15"/>
      <c r="DB86" s="15"/>
      <c r="DC86" s="15"/>
      <c r="DD86" s="15"/>
      <c r="DE86" s="15"/>
      <c r="DF86" s="15"/>
      <c r="DG86" s="15"/>
      <c r="DH86" s="15"/>
      <c r="DI86" s="15"/>
      <c r="DJ86" s="15"/>
      <c r="DK86" s="15"/>
      <c r="DL86" s="15"/>
      <c r="DM86" s="15"/>
      <c r="DN86" s="15"/>
      <c r="DO86" s="15"/>
      <c r="DP86" s="15"/>
      <c r="DQ86" s="15"/>
      <c r="DR86" s="15"/>
      <c r="DS86" s="15"/>
      <c r="DT86" s="15"/>
      <c r="DU86" s="15"/>
      <c r="DV86" s="15"/>
      <c r="DW86" s="15"/>
      <c r="DX86" s="15"/>
      <c r="DY86" s="15"/>
      <c r="DZ86" s="15"/>
      <c r="EA86" s="15"/>
      <c r="EB86" s="15"/>
      <c r="EC86" s="15"/>
      <c r="ED86" s="15"/>
      <c r="EE86" s="15"/>
      <c r="EF86" s="15"/>
      <c r="EG86" s="15"/>
      <c r="EH86" s="15"/>
      <c r="EI86" s="15"/>
      <c r="EJ86" s="15"/>
      <c r="EK86" s="15"/>
      <c r="EL86" s="15"/>
      <c r="EM86" s="15"/>
      <c r="EN86" s="15"/>
      <c r="EO86" s="15"/>
      <c r="EP86" s="15"/>
      <c r="EQ86" s="15"/>
      <c r="ER86" s="15"/>
      <c r="ES86" s="15"/>
      <c r="ET86" s="15"/>
      <c r="EU86" s="15"/>
      <c r="EV86" s="15"/>
      <c r="EW86" s="15"/>
      <c r="EX86" s="15"/>
      <c r="EY86" s="15"/>
      <c r="EZ86" s="15"/>
      <c r="FA86" s="15"/>
      <c r="FB86" s="15"/>
      <c r="FC86" s="15"/>
      <c r="FD86" s="15"/>
      <c r="FE86" s="15"/>
      <c r="FF86" s="15"/>
      <c r="FG86" s="15"/>
      <c r="FH86" s="15"/>
      <c r="FI86" s="15"/>
      <c r="FJ86" s="15"/>
      <c r="FK86" s="15"/>
      <c r="FL86" s="15"/>
      <c r="FM86" s="15"/>
      <c r="FN86" s="15"/>
      <c r="FO86" s="15"/>
      <c r="FP86" s="15"/>
      <c r="FQ86" s="15"/>
      <c r="FR86" s="15"/>
      <c r="FS86" s="15"/>
      <c r="FT86" s="15"/>
      <c r="FU86" s="15"/>
      <c r="FV86" s="15"/>
      <c r="FW86" s="15"/>
      <c r="FX86" s="15"/>
      <c r="FY86" s="15"/>
      <c r="FZ86" s="15"/>
      <c r="GA86" s="15"/>
      <c r="GB86" s="15"/>
      <c r="GC86" s="15"/>
      <c r="GD86" s="15"/>
      <c r="GE86" s="15"/>
      <c r="GF86" s="15"/>
      <c r="GG86" s="15"/>
      <c r="GH86" s="15"/>
      <c r="GI86" s="15"/>
      <c r="GJ86" s="15"/>
      <c r="GK86" s="15"/>
      <c r="GL86" s="15"/>
      <c r="GM86" s="15"/>
      <c r="GN86" s="15"/>
      <c r="GO86" s="15"/>
      <c r="GP86" s="15"/>
      <c r="GQ86" s="15"/>
      <c r="GR86" s="15"/>
      <c r="GS86" s="15"/>
      <c r="GT86" s="15"/>
      <c r="GU86" s="15"/>
      <c r="GV86" s="15"/>
      <c r="GW86" s="15"/>
      <c r="GX86" s="15"/>
      <c r="GY86" s="15"/>
      <c r="GZ86" s="15"/>
      <c r="HA86" s="15"/>
      <c r="HB86" s="15"/>
      <c r="HC86" s="15"/>
      <c r="HD86" s="15"/>
      <c r="HE86" s="15"/>
      <c r="HF86" s="15"/>
      <c r="HG86" s="15"/>
      <c r="HH86" s="15"/>
      <c r="HI86" s="15"/>
      <c r="HJ86" s="15"/>
      <c r="HK86" s="15"/>
      <c r="HL86" s="15"/>
      <c r="HM86" s="15"/>
      <c r="HN86" s="15"/>
      <c r="HO86" s="15"/>
      <c r="HP86" s="15"/>
      <c r="HQ86" s="15"/>
      <c r="HR86" s="15"/>
      <c r="HS86" s="15"/>
      <c r="HT86" s="15"/>
      <c r="HU86" s="15"/>
      <c r="HV86" s="15"/>
      <c r="HW86" s="15"/>
      <c r="HX86" s="15"/>
      <c r="HY86" s="15"/>
      <c r="HZ86" s="15"/>
      <c r="IA86" s="15"/>
      <c r="IB86" s="15"/>
      <c r="IC86" s="15"/>
      <c r="ID86" s="15"/>
      <c r="IE86" s="15"/>
      <c r="IF86" s="15"/>
      <c r="IG86" s="15"/>
    </row>
  </sheetData>
  <mergeCells count="155">
    <mergeCell ref="D1:U1"/>
    <mergeCell ref="B3:B4"/>
    <mergeCell ref="D3:D4"/>
    <mergeCell ref="E3:E4"/>
    <mergeCell ref="F3:G4"/>
    <mergeCell ref="H3:K4"/>
    <mergeCell ref="L3:N3"/>
    <mergeCell ref="O3:S3"/>
    <mergeCell ref="T3:U3"/>
    <mergeCell ref="F9:G9"/>
    <mergeCell ref="H9:K9"/>
    <mergeCell ref="F10:G10"/>
    <mergeCell ref="H10:K10"/>
    <mergeCell ref="F11:G11"/>
    <mergeCell ref="H11:K11"/>
    <mergeCell ref="B5:B6"/>
    <mergeCell ref="D5:G5"/>
    <mergeCell ref="F6:G6"/>
    <mergeCell ref="H6:K6"/>
    <mergeCell ref="H7:K7"/>
    <mergeCell ref="H8:K8"/>
    <mergeCell ref="B12:B13"/>
    <mergeCell ref="F12:G12"/>
    <mergeCell ref="H12:K12"/>
    <mergeCell ref="F13:G13"/>
    <mergeCell ref="H13:K13"/>
    <mergeCell ref="B14:B15"/>
    <mergeCell ref="C14:C16"/>
    <mergeCell ref="D14:D19"/>
    <mergeCell ref="E14:E16"/>
    <mergeCell ref="F14:G19"/>
    <mergeCell ref="H14:K14"/>
    <mergeCell ref="H15:K15"/>
    <mergeCell ref="S15:S17"/>
    <mergeCell ref="B16:B17"/>
    <mergeCell ref="H16:K16"/>
    <mergeCell ref="C17:C19"/>
    <mergeCell ref="E17:E19"/>
    <mergeCell ref="H17:K17"/>
    <mergeCell ref="H18:K18"/>
    <mergeCell ref="S18:S19"/>
    <mergeCell ref="H19:K19"/>
    <mergeCell ref="F20:G20"/>
    <mergeCell ref="H20:K20"/>
    <mergeCell ref="H21:K21"/>
    <mergeCell ref="B22:B23"/>
    <mergeCell ref="H22:K22"/>
    <mergeCell ref="C23:C26"/>
    <mergeCell ref="D23:D26"/>
    <mergeCell ref="E23:E26"/>
    <mergeCell ref="F23:G26"/>
    <mergeCell ref="H23:K23"/>
    <mergeCell ref="B24:B25"/>
    <mergeCell ref="H24:K24"/>
    <mergeCell ref="S24:S25"/>
    <mergeCell ref="H25:K25"/>
    <mergeCell ref="B26:B27"/>
    <mergeCell ref="H26:K26"/>
    <mergeCell ref="F27:G27"/>
    <mergeCell ref="H27:K27"/>
    <mergeCell ref="F31:G35"/>
    <mergeCell ref="H31:K31"/>
    <mergeCell ref="B32:B33"/>
    <mergeCell ref="H32:K32"/>
    <mergeCell ref="H33:K33"/>
    <mergeCell ref="B34:B35"/>
    <mergeCell ref="H34:K34"/>
    <mergeCell ref="H35:K35"/>
    <mergeCell ref="F28:G28"/>
    <mergeCell ref="H28:K28"/>
    <mergeCell ref="F29:G29"/>
    <mergeCell ref="H29:K29"/>
    <mergeCell ref="B30:B31"/>
    <mergeCell ref="F30:G30"/>
    <mergeCell ref="H30:K30"/>
    <mergeCell ref="C31:C35"/>
    <mergeCell ref="D31:D35"/>
    <mergeCell ref="E31:E35"/>
    <mergeCell ref="F36:G36"/>
    <mergeCell ref="H36:K36"/>
    <mergeCell ref="F37:G37"/>
    <mergeCell ref="H37:K37"/>
    <mergeCell ref="B38:B39"/>
    <mergeCell ref="F38:G38"/>
    <mergeCell ref="H38:K38"/>
    <mergeCell ref="F39:G39"/>
    <mergeCell ref="H39:K39"/>
    <mergeCell ref="F45:G45"/>
    <mergeCell ref="F46:G46"/>
    <mergeCell ref="F47:G47"/>
    <mergeCell ref="B48:B51"/>
    <mergeCell ref="C48:C51"/>
    <mergeCell ref="D48:D50"/>
    <mergeCell ref="E48:E51"/>
    <mergeCell ref="F48:G48"/>
    <mergeCell ref="D40:G40"/>
    <mergeCell ref="F41:G41"/>
    <mergeCell ref="F42:G42"/>
    <mergeCell ref="B43:B44"/>
    <mergeCell ref="D43:D44"/>
    <mergeCell ref="F43:G43"/>
    <mergeCell ref="F44:G44"/>
    <mergeCell ref="F55:G55"/>
    <mergeCell ref="F56:G56"/>
    <mergeCell ref="F57:G57"/>
    <mergeCell ref="D58:D59"/>
    <mergeCell ref="F58:G58"/>
    <mergeCell ref="B59:B60"/>
    <mergeCell ref="F59:G59"/>
    <mergeCell ref="S48:S50"/>
    <mergeCell ref="F49:G49"/>
    <mergeCell ref="F50:G50"/>
    <mergeCell ref="F51:G51"/>
    <mergeCell ref="F52:G52"/>
    <mergeCell ref="D53:D54"/>
    <mergeCell ref="F53:G53"/>
    <mergeCell ref="S53:S54"/>
    <mergeCell ref="F54:G54"/>
    <mergeCell ref="B64:B65"/>
    <mergeCell ref="F64:G64"/>
    <mergeCell ref="F65:G65"/>
    <mergeCell ref="F66:G66"/>
    <mergeCell ref="F67:G67"/>
    <mergeCell ref="F68:G68"/>
    <mergeCell ref="S59:S60"/>
    <mergeCell ref="F60:G60"/>
    <mergeCell ref="F61:G61"/>
    <mergeCell ref="B62:B63"/>
    <mergeCell ref="F62:G62"/>
    <mergeCell ref="F63:G63"/>
    <mergeCell ref="L71:L72"/>
    <mergeCell ref="M71:M72"/>
    <mergeCell ref="R71:R72"/>
    <mergeCell ref="S71:S72"/>
    <mergeCell ref="F72:G72"/>
    <mergeCell ref="B73:B74"/>
    <mergeCell ref="F73:G73"/>
    <mergeCell ref="F74:G74"/>
    <mergeCell ref="F69:G69"/>
    <mergeCell ref="F70:G70"/>
    <mergeCell ref="B71:B72"/>
    <mergeCell ref="D71:D72"/>
    <mergeCell ref="F71:G71"/>
    <mergeCell ref="I71:I72"/>
    <mergeCell ref="B79:B80"/>
    <mergeCell ref="F79:G79"/>
    <mergeCell ref="F80:G80"/>
    <mergeCell ref="D81:G81"/>
    <mergeCell ref="F86:G86"/>
    <mergeCell ref="B75:B76"/>
    <mergeCell ref="F75:G75"/>
    <mergeCell ref="F76:G76"/>
    <mergeCell ref="B77:B78"/>
    <mergeCell ref="F77:G77"/>
    <mergeCell ref="F78:G78"/>
  </mergeCells>
  <conditionalFormatting sqref="I79:I80 L79:M80">
    <cfRule type="containsText" dxfId="113" priority="29" stopIfTrue="1" operator="containsText" text="เพิ่มขึ้น">
      <formula>NOT(ISERROR(SEARCH("เพิ่มขึ้น",I79)))</formula>
    </cfRule>
    <cfRule type="containsText" dxfId="112" priority="30" stopIfTrue="1" operator="containsText" text="ลดลง">
      <formula>NOT(ISERROR(SEARCH("ลดลง",I79)))</formula>
    </cfRule>
    <cfRule type="containsText" dxfId="111" priority="24" stopIfTrue="1" operator="containsText" text="ลดลง">
      <formula>NOT(ISERROR(SEARCH("ลดลง",I79)))</formula>
    </cfRule>
    <cfRule type="containsText" dxfId="110" priority="25" stopIfTrue="1" operator="containsText" text="เพิ่มขึ้น">
      <formula>NOT(ISERROR(SEARCH("เพิ่มขึ้น",I79)))</formula>
    </cfRule>
    <cfRule type="containsText" dxfId="109" priority="26" stopIfTrue="1" operator="containsText" text="เท่าเดิม">
      <formula>NOT(ISERROR(SEARCH("เท่าเดิม",I79)))</formula>
    </cfRule>
    <cfRule type="containsText" dxfId="108" priority="27" stopIfTrue="1" operator="containsText" text="เพิ่มขึ้น">
      <formula>NOT(ISERROR(SEARCH("เพิ่มขึ้น",I79)))</formula>
    </cfRule>
    <cfRule type="containsText" dxfId="107" priority="28" stopIfTrue="1" operator="containsText" text="ลดลง">
      <formula>NOT(ISERROR(SEARCH("ลดลง",I79)))</formula>
    </cfRule>
  </conditionalFormatting>
  <conditionalFormatting sqref="L73:M80 I79:I80 R2:R71 M2 M4 L6:M39 L41:M71 R73:R81">
    <cfRule type="containsText" dxfId="106" priority="31" stopIfTrue="1" operator="containsText" text="ลดลง">
      <formula>NOT(ISERROR(SEARCH("ลดลง",I2)))</formula>
    </cfRule>
  </conditionalFormatting>
  <conditionalFormatting sqref="L86:M86 R86">
    <cfRule type="containsText" dxfId="105" priority="19" stopIfTrue="1" operator="containsText" text="ลดลง">
      <formula>NOT(ISERROR(SEARCH("ลดลง",L86)))</formula>
    </cfRule>
    <cfRule type="containsText" dxfId="104" priority="14" stopIfTrue="1" operator="containsText" text="เพิ่มขึ้น">
      <formula>NOT(ISERROR(SEARCH("เพิ่มขึ้น",L86)))</formula>
    </cfRule>
    <cfRule type="containsText" dxfId="103" priority="20" stopIfTrue="1" operator="containsText" text="เพิ่มขึ้น">
      <formula>NOT(ISERROR(SEARCH("เพิ่มขึ้น",L86)))</formula>
    </cfRule>
    <cfRule type="containsText" dxfId="102" priority="18" stopIfTrue="1" operator="containsText" text="เพิ่มขึ้น">
      <formula>NOT(ISERROR(SEARCH("เพิ่มขึ้น",L86)))</formula>
    </cfRule>
    <cfRule type="containsText" dxfId="101" priority="13" stopIfTrue="1" operator="containsText" text="ลดลง">
      <formula>NOT(ISERROR(SEARCH("ลดลง",L86)))</formula>
    </cfRule>
    <cfRule type="containsText" dxfId="100" priority="21" stopIfTrue="1" operator="containsText" text="ลดลง">
      <formula>NOT(ISERROR(SEARCH("ลดลง",L86)))</formula>
    </cfRule>
  </conditionalFormatting>
  <conditionalFormatting sqref="M2 R2:R71 M4 L6:M39 L41:M71 L73:M80 R73:R81 I79:I80">
    <cfRule type="containsText" dxfId="99" priority="32" stopIfTrue="1" operator="containsText" text="เพิ่มขึ้น">
      <formula>NOT(ISERROR(SEARCH("เพิ่มขึ้น",I2)))</formula>
    </cfRule>
  </conditionalFormatting>
  <conditionalFormatting sqref="P61:Q61">
    <cfRule type="expression" dxfId="98" priority="10" stopIfTrue="1">
      <formula>$R$5:$R$81=เพิ่มขึ้น</formula>
    </cfRule>
    <cfRule type="expression" dxfId="97" priority="11" stopIfTrue="1">
      <formula>$R$5:$R$81=ลดลง</formula>
    </cfRule>
    <cfRule type="expression" dxfId="96" priority="12" stopIfTrue="1">
      <formula>P61=ลดลง</formula>
    </cfRule>
    <cfRule type="containsText" dxfId="95" priority="1" stopIfTrue="1" operator="containsText" text="ลดลง">
      <formula>NOT(ISERROR(SEARCH("ลดลง",P61)))</formula>
    </cfRule>
    <cfRule type="containsText" dxfId="94" priority="2" stopIfTrue="1" operator="containsText" text="เพิ่มขึ้น">
      <formula>NOT(ISERROR(SEARCH("เพิ่มขึ้น",P61)))</formula>
    </cfRule>
    <cfRule type="containsText" dxfId="93" priority="3" stopIfTrue="1" operator="containsText" text="เท่าเดิม">
      <formula>NOT(ISERROR(SEARCH("เท่าเดิม",P61)))</formula>
    </cfRule>
    <cfRule type="containsText" dxfId="92" priority="4" stopIfTrue="1" operator="containsText" text="เพิ่มขึ้น">
      <formula>NOT(ISERROR(SEARCH("เพิ่มขึ้น",P61)))</formula>
    </cfRule>
    <cfRule type="containsText" dxfId="91" priority="5" stopIfTrue="1" operator="containsText" text="ลดลง">
      <formula>NOT(ISERROR(SEARCH("ลดลง",P61)))</formula>
    </cfRule>
    <cfRule type="containsText" dxfId="90" priority="6" stopIfTrue="1" operator="containsText" text="เพิ่มขึ้น">
      <formula>NOT(ISERROR(SEARCH("เพิ่มขึ้น",P61)))</formula>
    </cfRule>
    <cfRule type="containsText" dxfId="89" priority="7" stopIfTrue="1" operator="containsText" text="ลดลง">
      <formula>NOT(ISERROR(SEARCH("ลดลง",P61)))</formula>
    </cfRule>
    <cfRule type="expression" dxfId="88" priority="8" stopIfTrue="1">
      <formula>$R$5:$R$81=n.a.</formula>
    </cfRule>
    <cfRule type="expression" dxfId="87" priority="9" stopIfTrue="1">
      <formula>$R$5:$R$81=คงเดิม</formula>
    </cfRule>
  </conditionalFormatting>
  <conditionalFormatting sqref="R2:R71 R73:R1048576">
    <cfRule type="expression" dxfId="86" priority="35">
      <formula>เท่าเดิม</formula>
    </cfRule>
  </conditionalFormatting>
  <conditionalFormatting sqref="R5:R71 L6:M39 L41:M71 L73:M80 R73:R81 I79:I80 S21:S23 S27:S28 R86 L86:M86">
    <cfRule type="expression" dxfId="85" priority="48" stopIfTrue="1">
      <formula>$R$5:$R$81=n.a.</formula>
    </cfRule>
  </conditionalFormatting>
  <conditionalFormatting sqref="R5:R71 L6:M39 L41:M71 L73:M80 R73:R81 I79:I80">
    <cfRule type="containsText" dxfId="84" priority="44" stopIfTrue="1" operator="containsText" text="เพิ่มขึ้น">
      <formula>NOT(ISERROR(SEARCH("เพิ่มขึ้น",I5)))</formula>
    </cfRule>
    <cfRule type="containsText" dxfId="83" priority="45" stopIfTrue="1" operator="containsText" text="ลดลง">
      <formula>NOT(ISERROR(SEARCH("ลดลง",I5)))</formula>
    </cfRule>
    <cfRule type="containsText" dxfId="82" priority="46" stopIfTrue="1" operator="containsText" text="เพิ่มขึ้น">
      <formula>NOT(ISERROR(SEARCH("เพิ่มขึ้น",I5)))</formula>
    </cfRule>
    <cfRule type="containsText" dxfId="81" priority="47" stopIfTrue="1" operator="containsText" text="ลดลง">
      <formula>NOT(ISERROR(SEARCH("ลดลง",I5)))</formula>
    </cfRule>
  </conditionalFormatting>
  <conditionalFormatting sqref="R5:R71 L6:M39 S21:S23 S27:S28 L41:M71 L73:M80 R73:R81 I79:I80 L86:M86 R86">
    <cfRule type="expression" dxfId="80" priority="50" stopIfTrue="1">
      <formula>$R$5:$R$81=เพิ่มขึ้น</formula>
    </cfRule>
    <cfRule type="expression" dxfId="79" priority="49" stopIfTrue="1">
      <formula>$R$5:$R$81=คงเดิม</formula>
    </cfRule>
    <cfRule type="expression" dxfId="78" priority="51" stopIfTrue="1">
      <formula>$R$5:$R$81=ลดลง</formula>
    </cfRule>
    <cfRule type="expression" dxfId="77" priority="52" stopIfTrue="1">
      <formula>I5=ลดลง</formula>
    </cfRule>
  </conditionalFormatting>
  <conditionalFormatting sqref="R5:R71 R73:R81 L6:M39 L41:M71 L73:M80 I79:I80">
    <cfRule type="containsText" dxfId="76" priority="43" stopIfTrue="1" operator="containsText" text="เท่าเดิม">
      <formula>NOT(ISERROR(SEARCH("เท่าเดิม",I5)))</formula>
    </cfRule>
  </conditionalFormatting>
  <conditionalFormatting sqref="R6 R9 R13 R16 R19 R22 R25 R28 R31 R34 R37 R40 R43:R68 R70:R71 R74:R80">
    <cfRule type="expression" dxfId="75" priority="33">
      <formula>$R$6=ลดลง</formula>
    </cfRule>
    <cfRule type="expression" dxfId="74" priority="34">
      <formula>$R$6=เพิ่มขึ้น</formula>
    </cfRule>
  </conditionalFormatting>
  <conditionalFormatting sqref="R49:R50">
    <cfRule type="expression" dxfId="73" priority="23">
      <formula>$R$6=เพิ่มขึ้น</formula>
    </cfRule>
    <cfRule type="expression" dxfId="72" priority="22">
      <formula>$R$6=ลดลง</formula>
    </cfRule>
  </conditionalFormatting>
  <conditionalFormatting sqref="R86 L86:M86">
    <cfRule type="containsText" dxfId="71" priority="17" stopIfTrue="1" operator="containsText" text="เท่าเดิม">
      <formula>NOT(ISERROR(SEARCH("เท่าเดิม",L86)))</formula>
    </cfRule>
  </conditionalFormatting>
  <conditionalFormatting sqref="R86">
    <cfRule type="expression" dxfId="70" priority="16">
      <formula>$R$6=เพิ่มขึ้น</formula>
    </cfRule>
    <cfRule type="expression" dxfId="69" priority="15">
      <formula>$R$6=ลดลง</formula>
    </cfRule>
  </conditionalFormatting>
  <conditionalFormatting sqref="S21:S24 S26:S39">
    <cfRule type="containsText" dxfId="68" priority="39" stopIfTrue="1" operator="containsText" text="เพิ่มขึ้น">
      <formula>NOT(ISERROR(SEARCH("เพิ่มขึ้น",S21)))</formula>
    </cfRule>
    <cfRule type="containsText" dxfId="67" priority="40" stopIfTrue="1" operator="containsText" text="ลดลง">
      <formula>NOT(ISERROR(SEARCH("ลดลง",S21)))</formula>
    </cfRule>
    <cfRule type="containsText" dxfId="66" priority="41" stopIfTrue="1" operator="containsText" text="เพิ่มขึ้น">
      <formula>NOT(ISERROR(SEARCH("เพิ่มขึ้น",S21)))</formula>
    </cfRule>
    <cfRule type="containsText" dxfId="65" priority="42" stopIfTrue="1" operator="containsText" text="ลดลง">
      <formula>NOT(ISERROR(SEARCH("ลดลง",S21)))</formula>
    </cfRule>
    <cfRule type="containsText" dxfId="64" priority="36" stopIfTrue="1" operator="containsText" text="ลดลง">
      <formula>NOT(ISERROR(SEARCH("ลดลง",S21)))</formula>
    </cfRule>
    <cfRule type="containsText" dxfId="63" priority="37" stopIfTrue="1" operator="containsText" text="เพิ่มขึ้น">
      <formula>NOT(ISERROR(SEARCH("เพิ่มขึ้น",S21)))</formula>
    </cfRule>
    <cfRule type="containsText" dxfId="62" priority="38" stopIfTrue="1" operator="containsText" text="เท่าเดิม">
      <formula>NOT(ISERROR(SEARCH("เท่าเดิม",S21)))</formula>
    </cfRule>
  </conditionalFormatting>
  <conditionalFormatting sqref="S32">
    <cfRule type="expression" dxfId="61" priority="53" stopIfTrue="1">
      <formula>$R$5:$R$81=n.a.</formula>
    </cfRule>
    <cfRule type="expression" dxfId="60" priority="54" stopIfTrue="1">
      <formula>$R$5:$R$81=คงเดิม</formula>
    </cfRule>
    <cfRule type="expression" dxfId="59" priority="55" stopIfTrue="1">
      <formula>$R$5:$R$81=เพิ่มขึ้น</formula>
    </cfRule>
    <cfRule type="expression" dxfId="58" priority="56" stopIfTrue="1">
      <formula>$R$5:$R$81=ลดลง</formula>
    </cfRule>
    <cfRule type="expression" dxfId="57" priority="57" stopIfTrue="1">
      <formula>S32=ลดลง</formula>
    </cfRule>
  </conditionalFormatting>
  <hyperlinks>
    <hyperlink ref="D51" r:id="rId1" display="C2" xr:uid="{0DCA40BC-14AE-4824-8C9E-352E319D64AD}"/>
    <hyperlink ref="E48:E51" r:id="rId2" display="B8" xr:uid="{2A0FF701-C0C6-4650-AC08-8B356A9A0D47}"/>
    <hyperlink ref="E8" r:id="rId3" xr:uid="{5BFFD854-1427-485A-8C7C-ABD3E25A1A47}"/>
    <hyperlink ref="E7" r:id="rId4" xr:uid="{F2FC1324-909B-4305-83A1-4C32B1A36A09}"/>
    <hyperlink ref="E9" r:id="rId5" xr:uid="{4D10B0D6-0235-42C8-B8E4-75E753FF3655}"/>
    <hyperlink ref="E10" r:id="rId6" xr:uid="{A3AC1D54-BC06-4D30-9CFC-3A008D5F96B5}"/>
    <hyperlink ref="E12" r:id="rId7" xr:uid="{C70E286D-7378-4F91-93D4-2876B11F1671}"/>
    <hyperlink ref="E13" r:id="rId8" xr:uid="{9D293CE3-0116-48D4-BC52-CE0BADFF0C9D}"/>
    <hyperlink ref="E14:E16" r:id="rId9" display="A6-1 (ปี69)" xr:uid="{D76A4820-7AE8-4D77-AB88-FBA98DD1E144}"/>
    <hyperlink ref="E17:E19" r:id="rId10" display="A6-2 (ปี70)" xr:uid="{78BE93F8-917A-4FCE-8CBC-B133E1794B30}"/>
    <hyperlink ref="E21" r:id="rId11" xr:uid="{112CEC3D-4BFE-4F5E-8E6E-BBE1575AB0C5}"/>
    <hyperlink ref="E23:E26" r:id="rId12" display="A8" xr:uid="{DDD3ADE1-A533-4C4A-AF9A-275C0360C2C2}"/>
    <hyperlink ref="E27" r:id="rId13" xr:uid="{69CF05C6-CA7C-4615-8F88-689EF303DB39}"/>
    <hyperlink ref="E28" r:id="rId14" xr:uid="{5BEAFA2D-61F0-4D85-82FE-A6181FC85A52}"/>
    <hyperlink ref="E29" r:id="rId15" xr:uid="{BA68702F-123A-439F-8534-37AA9B8B6609}"/>
    <hyperlink ref="E30" r:id="rId16" xr:uid="{DABC77FC-50D2-423F-A9A6-97CD02C3700A}"/>
    <hyperlink ref="E31:E35" r:id="rId17" display="A13" xr:uid="{3E31C530-EDDA-4503-AA5B-5040C8354894}"/>
    <hyperlink ref="E36" r:id="rId18" xr:uid="{54B6F080-88C0-4100-93D0-2DD04CC88BF7}"/>
    <hyperlink ref="E39" r:id="rId19" xr:uid="{4304501D-58C9-4F81-9E6E-231B6842D55D}"/>
    <hyperlink ref="E37" r:id="rId20" xr:uid="{A2EB8953-6AA4-48CE-844E-D6A2C1B44FE4}"/>
    <hyperlink ref="E38" r:id="rId21" xr:uid="{1F95A130-BC0B-40A1-A4D5-9760439544E6}"/>
    <hyperlink ref="E22" r:id="rId22" xr:uid="{0A7DB16B-303D-4AFC-B27E-2222DE21C8CC}"/>
    <hyperlink ref="E11" r:id="rId23" xr:uid="{E4C67E17-562D-436C-9B05-935D6C9C9B7B}"/>
    <hyperlink ref="E43" r:id="rId24" xr:uid="{0B359AAC-A751-459B-8F90-74A75E66AC8E}"/>
    <hyperlink ref="E44" r:id="rId25" xr:uid="{FABFA02D-D304-4699-AFCB-EC0E6EAAE8E6}"/>
    <hyperlink ref="E45" r:id="rId26" xr:uid="{35E8470C-91F3-45BC-956F-716CA6D143F1}"/>
    <hyperlink ref="E46" r:id="rId27" xr:uid="{84B791FD-A730-4244-AD5E-4171654A128A}"/>
    <hyperlink ref="E47" r:id="rId28" xr:uid="{D46B4FCD-B26B-4E1A-B11D-1AA78A43D158}"/>
    <hyperlink ref="E52" r:id="rId29" xr:uid="{D3456AE8-5BF1-4566-B883-8D5E9222FF6C}"/>
    <hyperlink ref="E53" r:id="rId30" xr:uid="{B578B76B-D5FF-4AE4-9078-AAA64D18C8BD}"/>
    <hyperlink ref="E55" r:id="rId31" xr:uid="{B7130562-95F1-4AFC-AFC8-126C0A69EE56}"/>
    <hyperlink ref="E56" r:id="rId32" xr:uid="{05094979-47F1-43E6-BB74-2469322C4ED9}"/>
    <hyperlink ref="E58" r:id="rId33" xr:uid="{E0D4FE96-ADCF-4577-9DCA-C5C6DBE89817}"/>
    <hyperlink ref="E59" r:id="rId34" xr:uid="{DCE363D3-A864-4215-B007-97DBD7A0B60E}"/>
    <hyperlink ref="E60" r:id="rId35" xr:uid="{41B3944E-789A-4315-A3AE-C4E0B7FAA0C6}"/>
    <hyperlink ref="E62" r:id="rId36" xr:uid="{C95D7595-3C24-468A-BDB2-99B1FA632A9F}"/>
    <hyperlink ref="E63" r:id="rId37" xr:uid="{E2562BAB-6A2B-49B5-B67F-0BFFC7D493E7}"/>
    <hyperlink ref="E64" r:id="rId38" xr:uid="{23097789-D107-4121-926B-C4850A37DA73}"/>
    <hyperlink ref="E65" r:id="rId39" xr:uid="{AA04A2BA-CA4D-4599-88CC-735874669820}"/>
    <hyperlink ref="E66" r:id="rId40" xr:uid="{2BC058FB-5462-4DCD-B1F1-6209013ACA52}"/>
    <hyperlink ref="E67" r:id="rId41" xr:uid="{DEE34194-6DA8-41DB-B353-A6ED9327B3D8}"/>
    <hyperlink ref="E68" r:id="rId42" xr:uid="{29E1508A-8388-4C48-BB63-E3C8D6C4D088}"/>
  </hyperlinks>
  <printOptions horizontalCentered="1"/>
  <pageMargins left="0.11811023622047245" right="0.11811023622047245" top="0.35433070866141736" bottom="0.35433070866141736" header="0.31496062992125984" footer="0.31496062992125984"/>
  <pageSetup paperSize="8" scale="85" orientation="landscape" r:id="rId43"/>
  <drawing r:id="rId44"/>
  <legacyDrawing r:id="rId4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FEFAB-C91A-47F8-B4EE-0FA666687988}">
  <sheetPr>
    <tabColor theme="5" tint="0.39997558519241921"/>
  </sheetPr>
  <dimension ref="A1:Z52"/>
  <sheetViews>
    <sheetView zoomScale="90" zoomScaleNormal="90" workbookViewId="0">
      <pane xSplit="4" ySplit="9" topLeftCell="E10" activePane="bottomRight" state="frozen"/>
      <selection pane="topRight" activeCell="F20" sqref="F20"/>
      <selection pane="bottomLeft" activeCell="F20" sqref="F20"/>
      <selection pane="bottomRight" activeCell="L34" sqref="L34"/>
    </sheetView>
  </sheetViews>
  <sheetFormatPr defaultRowHeight="18" x14ac:dyDescent="0.8"/>
  <cols>
    <col min="1" max="1" width="7.0625" style="173" customWidth="1"/>
    <col min="2" max="2" width="9.8125" style="173" customWidth="1"/>
    <col min="3" max="3" width="24.5" style="173" customWidth="1"/>
    <col min="4" max="4" width="29.8125" style="305" customWidth="1"/>
    <col min="5" max="5" width="14.75" style="305" customWidth="1"/>
    <col min="6" max="6" width="10.5625" style="306" hidden="1" customWidth="1"/>
    <col min="7" max="7" width="9.5625" style="173" hidden="1" customWidth="1"/>
    <col min="8" max="8" width="15.0625" style="173" customWidth="1"/>
    <col min="9" max="9" width="10.5625" style="173" hidden="1" customWidth="1"/>
    <col min="10" max="10" width="9.3125" style="173" hidden="1" customWidth="1"/>
    <col min="11" max="11" width="8.5" style="173" hidden="1" customWidth="1"/>
    <col min="12" max="12" width="11.0625" style="173" customWidth="1"/>
    <col min="13" max="13" width="8.3125" style="173" customWidth="1"/>
    <col min="14" max="14" width="7.5" style="173" hidden="1" customWidth="1"/>
    <col min="15" max="15" width="7.25" style="173" hidden="1" customWidth="1"/>
    <col min="16" max="16" width="10.5625" style="173" customWidth="1"/>
    <col min="17" max="17" width="7.25" style="173" customWidth="1"/>
    <col min="18" max="18" width="4" style="174" customWidth="1"/>
    <col min="19" max="19" width="43.3125" style="175" customWidth="1"/>
    <col min="20" max="20" width="2.3125" style="176" customWidth="1"/>
    <col min="21" max="21" width="9.0625" style="173" customWidth="1"/>
    <col min="22" max="22" width="9.3125" style="173" bestFit="1" customWidth="1"/>
    <col min="23" max="23" width="8.8125" style="173" bestFit="1" customWidth="1"/>
    <col min="24" max="24" width="14.3125" style="173" customWidth="1"/>
    <col min="25" max="25" width="10.3125" style="173" customWidth="1"/>
    <col min="26" max="252" width="8.5625" style="173"/>
    <col min="253" max="253" width="7.0625" style="173" customWidth="1"/>
    <col min="254" max="254" width="11.0625" style="173" customWidth="1"/>
    <col min="255" max="255" width="22.5" style="173" customWidth="1"/>
    <col min="256" max="256" width="25.25" style="173" customWidth="1"/>
    <col min="257" max="257" width="14.75" style="173" customWidth="1"/>
    <col min="258" max="259" width="11.8125" style="173" customWidth="1"/>
    <col min="260" max="260" width="0" style="173" hidden="1" customWidth="1"/>
    <col min="261" max="261" width="11.3125" style="173" customWidth="1"/>
    <col min="262" max="262" width="8.5" style="173" customWidth="1"/>
    <col min="263" max="263" width="10.3125" style="173" customWidth="1"/>
    <col min="264" max="264" width="8.3125" style="173" customWidth="1"/>
    <col min="265" max="265" width="10.25" style="173" customWidth="1"/>
    <col min="266" max="266" width="7.25" style="173" customWidth="1"/>
    <col min="267" max="267" width="11.8125" style="173" customWidth="1"/>
    <col min="268" max="268" width="7.25" style="173" customWidth="1"/>
    <col min="269" max="269" width="27.5" style="173" customWidth="1"/>
    <col min="270" max="270" width="8.5625" style="173"/>
    <col min="271" max="271" width="12.8125" style="173" customWidth="1"/>
    <col min="272" max="508" width="8.5625" style="173"/>
    <col min="509" max="509" width="7.0625" style="173" customWidth="1"/>
    <col min="510" max="510" width="11.0625" style="173" customWidth="1"/>
    <col min="511" max="511" width="22.5" style="173" customWidth="1"/>
    <col min="512" max="512" width="25.25" style="173" customWidth="1"/>
    <col min="513" max="513" width="14.75" style="173" customWidth="1"/>
    <col min="514" max="515" width="11.8125" style="173" customWidth="1"/>
    <col min="516" max="516" width="0" style="173" hidden="1" customWidth="1"/>
    <col min="517" max="517" width="11.3125" style="173" customWidth="1"/>
    <col min="518" max="518" width="8.5" style="173" customWidth="1"/>
    <col min="519" max="519" width="10.3125" style="173" customWidth="1"/>
    <col min="520" max="520" width="8.3125" style="173" customWidth="1"/>
    <col min="521" max="521" width="10.25" style="173" customWidth="1"/>
    <col min="522" max="522" width="7.25" style="173" customWidth="1"/>
    <col min="523" max="523" width="11.8125" style="173" customWidth="1"/>
    <col min="524" max="524" width="7.25" style="173" customWidth="1"/>
    <col min="525" max="525" width="27.5" style="173" customWidth="1"/>
    <col min="526" max="526" width="8.5625" style="173"/>
    <col min="527" max="527" width="12.8125" style="173" customWidth="1"/>
    <col min="528" max="764" width="8.5625" style="173"/>
    <col min="765" max="765" width="7.0625" style="173" customWidth="1"/>
    <col min="766" max="766" width="11.0625" style="173" customWidth="1"/>
    <col min="767" max="767" width="22.5" style="173" customWidth="1"/>
    <col min="768" max="768" width="25.25" style="173" customWidth="1"/>
    <col min="769" max="769" width="14.75" style="173" customWidth="1"/>
    <col min="770" max="771" width="11.8125" style="173" customWidth="1"/>
    <col min="772" max="772" width="0" style="173" hidden="1" customWidth="1"/>
    <col min="773" max="773" width="11.3125" style="173" customWidth="1"/>
    <col min="774" max="774" width="8.5" style="173" customWidth="1"/>
    <col min="775" max="775" width="10.3125" style="173" customWidth="1"/>
    <col min="776" max="776" width="8.3125" style="173" customWidth="1"/>
    <col min="777" max="777" width="10.25" style="173" customWidth="1"/>
    <col min="778" max="778" width="7.25" style="173" customWidth="1"/>
    <col min="779" max="779" width="11.8125" style="173" customWidth="1"/>
    <col min="780" max="780" width="7.25" style="173" customWidth="1"/>
    <col min="781" max="781" width="27.5" style="173" customWidth="1"/>
    <col min="782" max="782" width="8.5625" style="173"/>
    <col min="783" max="783" width="12.8125" style="173" customWidth="1"/>
    <col min="784" max="1020" width="8.5625" style="173"/>
    <col min="1021" max="1021" width="7.0625" style="173" customWidth="1"/>
    <col min="1022" max="1022" width="11.0625" style="173" customWidth="1"/>
    <col min="1023" max="1023" width="22.5" style="173" customWidth="1"/>
    <col min="1024" max="1024" width="25.25" style="173" customWidth="1"/>
    <col min="1025" max="1025" width="14.75" style="173" customWidth="1"/>
    <col min="1026" max="1027" width="11.8125" style="173" customWidth="1"/>
    <col min="1028" max="1028" width="0" style="173" hidden="1" customWidth="1"/>
    <col min="1029" max="1029" width="11.3125" style="173" customWidth="1"/>
    <col min="1030" max="1030" width="8.5" style="173" customWidth="1"/>
    <col min="1031" max="1031" width="10.3125" style="173" customWidth="1"/>
    <col min="1032" max="1032" width="8.3125" style="173" customWidth="1"/>
    <col min="1033" max="1033" width="10.25" style="173" customWidth="1"/>
    <col min="1034" max="1034" width="7.25" style="173" customWidth="1"/>
    <col min="1035" max="1035" width="11.8125" style="173" customWidth="1"/>
    <col min="1036" max="1036" width="7.25" style="173" customWidth="1"/>
    <col min="1037" max="1037" width="27.5" style="173" customWidth="1"/>
    <col min="1038" max="1038" width="8.5625" style="173"/>
    <col min="1039" max="1039" width="12.8125" style="173" customWidth="1"/>
    <col min="1040" max="1276" width="8.5625" style="173"/>
    <col min="1277" max="1277" width="7.0625" style="173" customWidth="1"/>
    <col min="1278" max="1278" width="11.0625" style="173" customWidth="1"/>
    <col min="1279" max="1279" width="22.5" style="173" customWidth="1"/>
    <col min="1280" max="1280" width="25.25" style="173" customWidth="1"/>
    <col min="1281" max="1281" width="14.75" style="173" customWidth="1"/>
    <col min="1282" max="1283" width="11.8125" style="173" customWidth="1"/>
    <col min="1284" max="1284" width="0" style="173" hidden="1" customWidth="1"/>
    <col min="1285" max="1285" width="11.3125" style="173" customWidth="1"/>
    <col min="1286" max="1286" width="8.5" style="173" customWidth="1"/>
    <col min="1287" max="1287" width="10.3125" style="173" customWidth="1"/>
    <col min="1288" max="1288" width="8.3125" style="173" customWidth="1"/>
    <col min="1289" max="1289" width="10.25" style="173" customWidth="1"/>
    <col min="1290" max="1290" width="7.25" style="173" customWidth="1"/>
    <col min="1291" max="1291" width="11.8125" style="173" customWidth="1"/>
    <col min="1292" max="1292" width="7.25" style="173" customWidth="1"/>
    <col min="1293" max="1293" width="27.5" style="173" customWidth="1"/>
    <col min="1294" max="1294" width="8.5625" style="173"/>
    <col min="1295" max="1295" width="12.8125" style="173" customWidth="1"/>
    <col min="1296" max="1532" width="8.5625" style="173"/>
    <col min="1533" max="1533" width="7.0625" style="173" customWidth="1"/>
    <col min="1534" max="1534" width="11.0625" style="173" customWidth="1"/>
    <col min="1535" max="1535" width="22.5" style="173" customWidth="1"/>
    <col min="1536" max="1536" width="25.25" style="173" customWidth="1"/>
    <col min="1537" max="1537" width="14.75" style="173" customWidth="1"/>
    <col min="1538" max="1539" width="11.8125" style="173" customWidth="1"/>
    <col min="1540" max="1540" width="0" style="173" hidden="1" customWidth="1"/>
    <col min="1541" max="1541" width="11.3125" style="173" customWidth="1"/>
    <col min="1542" max="1542" width="8.5" style="173" customWidth="1"/>
    <col min="1543" max="1543" width="10.3125" style="173" customWidth="1"/>
    <col min="1544" max="1544" width="8.3125" style="173" customWidth="1"/>
    <col min="1545" max="1545" width="10.25" style="173" customWidth="1"/>
    <col min="1546" max="1546" width="7.25" style="173" customWidth="1"/>
    <col min="1547" max="1547" width="11.8125" style="173" customWidth="1"/>
    <col min="1548" max="1548" width="7.25" style="173" customWidth="1"/>
    <col min="1549" max="1549" width="27.5" style="173" customWidth="1"/>
    <col min="1550" max="1550" width="8.5625" style="173"/>
    <col min="1551" max="1551" width="12.8125" style="173" customWidth="1"/>
    <col min="1552" max="1788" width="8.5625" style="173"/>
    <col min="1789" max="1789" width="7.0625" style="173" customWidth="1"/>
    <col min="1790" max="1790" width="11.0625" style="173" customWidth="1"/>
    <col min="1791" max="1791" width="22.5" style="173" customWidth="1"/>
    <col min="1792" max="1792" width="25.25" style="173" customWidth="1"/>
    <col min="1793" max="1793" width="14.75" style="173" customWidth="1"/>
    <col min="1794" max="1795" width="11.8125" style="173" customWidth="1"/>
    <col min="1796" max="1796" width="0" style="173" hidden="1" customWidth="1"/>
    <col min="1797" max="1797" width="11.3125" style="173" customWidth="1"/>
    <col min="1798" max="1798" width="8.5" style="173" customWidth="1"/>
    <col min="1799" max="1799" width="10.3125" style="173" customWidth="1"/>
    <col min="1800" max="1800" width="8.3125" style="173" customWidth="1"/>
    <col min="1801" max="1801" width="10.25" style="173" customWidth="1"/>
    <col min="1802" max="1802" width="7.25" style="173" customWidth="1"/>
    <col min="1803" max="1803" width="11.8125" style="173" customWidth="1"/>
    <col min="1804" max="1804" width="7.25" style="173" customWidth="1"/>
    <col min="1805" max="1805" width="27.5" style="173" customWidth="1"/>
    <col min="1806" max="1806" width="8.5625" style="173"/>
    <col min="1807" max="1807" width="12.8125" style="173" customWidth="1"/>
    <col min="1808" max="2044" width="8.5625" style="173"/>
    <col min="2045" max="2045" width="7.0625" style="173" customWidth="1"/>
    <col min="2046" max="2046" width="11.0625" style="173" customWidth="1"/>
    <col min="2047" max="2047" width="22.5" style="173" customWidth="1"/>
    <col min="2048" max="2048" width="25.25" style="173" customWidth="1"/>
    <col min="2049" max="2049" width="14.75" style="173" customWidth="1"/>
    <col min="2050" max="2051" width="11.8125" style="173" customWidth="1"/>
    <col min="2052" max="2052" width="0" style="173" hidden="1" customWidth="1"/>
    <col min="2053" max="2053" width="11.3125" style="173" customWidth="1"/>
    <col min="2054" max="2054" width="8.5" style="173" customWidth="1"/>
    <col min="2055" max="2055" width="10.3125" style="173" customWidth="1"/>
    <col min="2056" max="2056" width="8.3125" style="173" customWidth="1"/>
    <col min="2057" max="2057" width="10.25" style="173" customWidth="1"/>
    <col min="2058" max="2058" width="7.25" style="173" customWidth="1"/>
    <col min="2059" max="2059" width="11.8125" style="173" customWidth="1"/>
    <col min="2060" max="2060" width="7.25" style="173" customWidth="1"/>
    <col min="2061" max="2061" width="27.5" style="173" customWidth="1"/>
    <col min="2062" max="2062" width="8.5625" style="173"/>
    <col min="2063" max="2063" width="12.8125" style="173" customWidth="1"/>
    <col min="2064" max="2300" width="8.5625" style="173"/>
    <col min="2301" max="2301" width="7.0625" style="173" customWidth="1"/>
    <col min="2302" max="2302" width="11.0625" style="173" customWidth="1"/>
    <col min="2303" max="2303" width="22.5" style="173" customWidth="1"/>
    <col min="2304" max="2304" width="25.25" style="173" customWidth="1"/>
    <col min="2305" max="2305" width="14.75" style="173" customWidth="1"/>
    <col min="2306" max="2307" width="11.8125" style="173" customWidth="1"/>
    <col min="2308" max="2308" width="0" style="173" hidden="1" customWidth="1"/>
    <col min="2309" max="2309" width="11.3125" style="173" customWidth="1"/>
    <col min="2310" max="2310" width="8.5" style="173" customWidth="1"/>
    <col min="2311" max="2311" width="10.3125" style="173" customWidth="1"/>
    <col min="2312" max="2312" width="8.3125" style="173" customWidth="1"/>
    <col min="2313" max="2313" width="10.25" style="173" customWidth="1"/>
    <col min="2314" max="2314" width="7.25" style="173" customWidth="1"/>
    <col min="2315" max="2315" width="11.8125" style="173" customWidth="1"/>
    <col min="2316" max="2316" width="7.25" style="173" customWidth="1"/>
    <col min="2317" max="2317" width="27.5" style="173" customWidth="1"/>
    <col min="2318" max="2318" width="8.5625" style="173"/>
    <col min="2319" max="2319" width="12.8125" style="173" customWidth="1"/>
    <col min="2320" max="2556" width="8.5625" style="173"/>
    <col min="2557" max="2557" width="7.0625" style="173" customWidth="1"/>
    <col min="2558" max="2558" width="11.0625" style="173" customWidth="1"/>
    <col min="2559" max="2559" width="22.5" style="173" customWidth="1"/>
    <col min="2560" max="2560" width="25.25" style="173" customWidth="1"/>
    <col min="2561" max="2561" width="14.75" style="173" customWidth="1"/>
    <col min="2562" max="2563" width="11.8125" style="173" customWidth="1"/>
    <col min="2564" max="2564" width="0" style="173" hidden="1" customWidth="1"/>
    <col min="2565" max="2565" width="11.3125" style="173" customWidth="1"/>
    <col min="2566" max="2566" width="8.5" style="173" customWidth="1"/>
    <col min="2567" max="2567" width="10.3125" style="173" customWidth="1"/>
    <col min="2568" max="2568" width="8.3125" style="173" customWidth="1"/>
    <col min="2569" max="2569" width="10.25" style="173" customWidth="1"/>
    <col min="2570" max="2570" width="7.25" style="173" customWidth="1"/>
    <col min="2571" max="2571" width="11.8125" style="173" customWidth="1"/>
    <col min="2572" max="2572" width="7.25" style="173" customWidth="1"/>
    <col min="2573" max="2573" width="27.5" style="173" customWidth="1"/>
    <col min="2574" max="2574" width="8.5625" style="173"/>
    <col min="2575" max="2575" width="12.8125" style="173" customWidth="1"/>
    <col min="2576" max="2812" width="8.5625" style="173"/>
    <col min="2813" max="2813" width="7.0625" style="173" customWidth="1"/>
    <col min="2814" max="2814" width="11.0625" style="173" customWidth="1"/>
    <col min="2815" max="2815" width="22.5" style="173" customWidth="1"/>
    <col min="2816" max="2816" width="25.25" style="173" customWidth="1"/>
    <col min="2817" max="2817" width="14.75" style="173" customWidth="1"/>
    <col min="2818" max="2819" width="11.8125" style="173" customWidth="1"/>
    <col min="2820" max="2820" width="0" style="173" hidden="1" customWidth="1"/>
    <col min="2821" max="2821" width="11.3125" style="173" customWidth="1"/>
    <col min="2822" max="2822" width="8.5" style="173" customWidth="1"/>
    <col min="2823" max="2823" width="10.3125" style="173" customWidth="1"/>
    <col min="2824" max="2824" width="8.3125" style="173" customWidth="1"/>
    <col min="2825" max="2825" width="10.25" style="173" customWidth="1"/>
    <col min="2826" max="2826" width="7.25" style="173" customWidth="1"/>
    <col min="2827" max="2827" width="11.8125" style="173" customWidth="1"/>
    <col min="2828" max="2828" width="7.25" style="173" customWidth="1"/>
    <col min="2829" max="2829" width="27.5" style="173" customWidth="1"/>
    <col min="2830" max="2830" width="8.5625" style="173"/>
    <col min="2831" max="2831" width="12.8125" style="173" customWidth="1"/>
    <col min="2832" max="3068" width="8.5625" style="173"/>
    <col min="3069" max="3069" width="7.0625" style="173" customWidth="1"/>
    <col min="3070" max="3070" width="11.0625" style="173" customWidth="1"/>
    <col min="3071" max="3071" width="22.5" style="173" customWidth="1"/>
    <col min="3072" max="3072" width="25.25" style="173" customWidth="1"/>
    <col min="3073" max="3073" width="14.75" style="173" customWidth="1"/>
    <col min="3074" max="3075" width="11.8125" style="173" customWidth="1"/>
    <col min="3076" max="3076" width="0" style="173" hidden="1" customWidth="1"/>
    <col min="3077" max="3077" width="11.3125" style="173" customWidth="1"/>
    <col min="3078" max="3078" width="8.5" style="173" customWidth="1"/>
    <col min="3079" max="3079" width="10.3125" style="173" customWidth="1"/>
    <col min="3080" max="3080" width="8.3125" style="173" customWidth="1"/>
    <col min="3081" max="3081" width="10.25" style="173" customWidth="1"/>
    <col min="3082" max="3082" width="7.25" style="173" customWidth="1"/>
    <col min="3083" max="3083" width="11.8125" style="173" customWidth="1"/>
    <col min="3084" max="3084" width="7.25" style="173" customWidth="1"/>
    <col min="3085" max="3085" width="27.5" style="173" customWidth="1"/>
    <col min="3086" max="3086" width="8.5625" style="173"/>
    <col min="3087" max="3087" width="12.8125" style="173" customWidth="1"/>
    <col min="3088" max="3324" width="8.5625" style="173"/>
    <col min="3325" max="3325" width="7.0625" style="173" customWidth="1"/>
    <col min="3326" max="3326" width="11.0625" style="173" customWidth="1"/>
    <col min="3327" max="3327" width="22.5" style="173" customWidth="1"/>
    <col min="3328" max="3328" width="25.25" style="173" customWidth="1"/>
    <col min="3329" max="3329" width="14.75" style="173" customWidth="1"/>
    <col min="3330" max="3331" width="11.8125" style="173" customWidth="1"/>
    <col min="3332" max="3332" width="0" style="173" hidden="1" customWidth="1"/>
    <col min="3333" max="3333" width="11.3125" style="173" customWidth="1"/>
    <col min="3334" max="3334" width="8.5" style="173" customWidth="1"/>
    <col min="3335" max="3335" width="10.3125" style="173" customWidth="1"/>
    <col min="3336" max="3336" width="8.3125" style="173" customWidth="1"/>
    <col min="3337" max="3337" width="10.25" style="173" customWidth="1"/>
    <col min="3338" max="3338" width="7.25" style="173" customWidth="1"/>
    <col min="3339" max="3339" width="11.8125" style="173" customWidth="1"/>
    <col min="3340" max="3340" width="7.25" style="173" customWidth="1"/>
    <col min="3341" max="3341" width="27.5" style="173" customWidth="1"/>
    <col min="3342" max="3342" width="8.5625" style="173"/>
    <col min="3343" max="3343" width="12.8125" style="173" customWidth="1"/>
    <col min="3344" max="3580" width="8.5625" style="173"/>
    <col min="3581" max="3581" width="7.0625" style="173" customWidth="1"/>
    <col min="3582" max="3582" width="11.0625" style="173" customWidth="1"/>
    <col min="3583" max="3583" width="22.5" style="173" customWidth="1"/>
    <col min="3584" max="3584" width="25.25" style="173" customWidth="1"/>
    <col min="3585" max="3585" width="14.75" style="173" customWidth="1"/>
    <col min="3586" max="3587" width="11.8125" style="173" customWidth="1"/>
    <col min="3588" max="3588" width="0" style="173" hidden="1" customWidth="1"/>
    <col min="3589" max="3589" width="11.3125" style="173" customWidth="1"/>
    <col min="3590" max="3590" width="8.5" style="173" customWidth="1"/>
    <col min="3591" max="3591" width="10.3125" style="173" customWidth="1"/>
    <col min="3592" max="3592" width="8.3125" style="173" customWidth="1"/>
    <col min="3593" max="3593" width="10.25" style="173" customWidth="1"/>
    <col min="3594" max="3594" width="7.25" style="173" customWidth="1"/>
    <col min="3595" max="3595" width="11.8125" style="173" customWidth="1"/>
    <col min="3596" max="3596" width="7.25" style="173" customWidth="1"/>
    <col min="3597" max="3597" width="27.5" style="173" customWidth="1"/>
    <col min="3598" max="3598" width="8.5625" style="173"/>
    <col min="3599" max="3599" width="12.8125" style="173" customWidth="1"/>
    <col min="3600" max="3836" width="8.5625" style="173"/>
    <col min="3837" max="3837" width="7.0625" style="173" customWidth="1"/>
    <col min="3838" max="3838" width="11.0625" style="173" customWidth="1"/>
    <col min="3839" max="3839" width="22.5" style="173" customWidth="1"/>
    <col min="3840" max="3840" width="25.25" style="173" customWidth="1"/>
    <col min="3841" max="3841" width="14.75" style="173" customWidth="1"/>
    <col min="3842" max="3843" width="11.8125" style="173" customWidth="1"/>
    <col min="3844" max="3844" width="0" style="173" hidden="1" customWidth="1"/>
    <col min="3845" max="3845" width="11.3125" style="173" customWidth="1"/>
    <col min="3846" max="3846" width="8.5" style="173" customWidth="1"/>
    <col min="3847" max="3847" width="10.3125" style="173" customWidth="1"/>
    <col min="3848" max="3848" width="8.3125" style="173" customWidth="1"/>
    <col min="3849" max="3849" width="10.25" style="173" customWidth="1"/>
    <col min="3850" max="3850" width="7.25" style="173" customWidth="1"/>
    <col min="3851" max="3851" width="11.8125" style="173" customWidth="1"/>
    <col min="3852" max="3852" width="7.25" style="173" customWidth="1"/>
    <col min="3853" max="3853" width="27.5" style="173" customWidth="1"/>
    <col min="3854" max="3854" width="8.5625" style="173"/>
    <col min="3855" max="3855" width="12.8125" style="173" customWidth="1"/>
    <col min="3856" max="4092" width="8.5625" style="173"/>
    <col min="4093" max="4093" width="7.0625" style="173" customWidth="1"/>
    <col min="4094" max="4094" width="11.0625" style="173" customWidth="1"/>
    <col min="4095" max="4095" width="22.5" style="173" customWidth="1"/>
    <col min="4096" max="4096" width="25.25" style="173" customWidth="1"/>
    <col min="4097" max="4097" width="14.75" style="173" customWidth="1"/>
    <col min="4098" max="4099" width="11.8125" style="173" customWidth="1"/>
    <col min="4100" max="4100" width="0" style="173" hidden="1" customWidth="1"/>
    <col min="4101" max="4101" width="11.3125" style="173" customWidth="1"/>
    <col min="4102" max="4102" width="8.5" style="173" customWidth="1"/>
    <col min="4103" max="4103" width="10.3125" style="173" customWidth="1"/>
    <col min="4104" max="4104" width="8.3125" style="173" customWidth="1"/>
    <col min="4105" max="4105" width="10.25" style="173" customWidth="1"/>
    <col min="4106" max="4106" width="7.25" style="173" customWidth="1"/>
    <col min="4107" max="4107" width="11.8125" style="173" customWidth="1"/>
    <col min="4108" max="4108" width="7.25" style="173" customWidth="1"/>
    <col min="4109" max="4109" width="27.5" style="173" customWidth="1"/>
    <col min="4110" max="4110" width="8.5625" style="173"/>
    <col min="4111" max="4111" width="12.8125" style="173" customWidth="1"/>
    <col min="4112" max="4348" width="8.5625" style="173"/>
    <col min="4349" max="4349" width="7.0625" style="173" customWidth="1"/>
    <col min="4350" max="4350" width="11.0625" style="173" customWidth="1"/>
    <col min="4351" max="4351" width="22.5" style="173" customWidth="1"/>
    <col min="4352" max="4352" width="25.25" style="173" customWidth="1"/>
    <col min="4353" max="4353" width="14.75" style="173" customWidth="1"/>
    <col min="4354" max="4355" width="11.8125" style="173" customWidth="1"/>
    <col min="4356" max="4356" width="0" style="173" hidden="1" customWidth="1"/>
    <col min="4357" max="4357" width="11.3125" style="173" customWidth="1"/>
    <col min="4358" max="4358" width="8.5" style="173" customWidth="1"/>
    <col min="4359" max="4359" width="10.3125" style="173" customWidth="1"/>
    <col min="4360" max="4360" width="8.3125" style="173" customWidth="1"/>
    <col min="4361" max="4361" width="10.25" style="173" customWidth="1"/>
    <col min="4362" max="4362" width="7.25" style="173" customWidth="1"/>
    <col min="4363" max="4363" width="11.8125" style="173" customWidth="1"/>
    <col min="4364" max="4364" width="7.25" style="173" customWidth="1"/>
    <col min="4365" max="4365" width="27.5" style="173" customWidth="1"/>
    <col min="4366" max="4366" width="8.5625" style="173"/>
    <col min="4367" max="4367" width="12.8125" style="173" customWidth="1"/>
    <col min="4368" max="4604" width="8.5625" style="173"/>
    <col min="4605" max="4605" width="7.0625" style="173" customWidth="1"/>
    <col min="4606" max="4606" width="11.0625" style="173" customWidth="1"/>
    <col min="4607" max="4607" width="22.5" style="173" customWidth="1"/>
    <col min="4608" max="4608" width="25.25" style="173" customWidth="1"/>
    <col min="4609" max="4609" width="14.75" style="173" customWidth="1"/>
    <col min="4610" max="4611" width="11.8125" style="173" customWidth="1"/>
    <col min="4612" max="4612" width="0" style="173" hidden="1" customWidth="1"/>
    <col min="4613" max="4613" width="11.3125" style="173" customWidth="1"/>
    <col min="4614" max="4614" width="8.5" style="173" customWidth="1"/>
    <col min="4615" max="4615" width="10.3125" style="173" customWidth="1"/>
    <col min="4616" max="4616" width="8.3125" style="173" customWidth="1"/>
    <col min="4617" max="4617" width="10.25" style="173" customWidth="1"/>
    <col min="4618" max="4618" width="7.25" style="173" customWidth="1"/>
    <col min="4619" max="4619" width="11.8125" style="173" customWidth="1"/>
    <col min="4620" max="4620" width="7.25" style="173" customWidth="1"/>
    <col min="4621" max="4621" width="27.5" style="173" customWidth="1"/>
    <col min="4622" max="4622" width="8.5625" style="173"/>
    <col min="4623" max="4623" width="12.8125" style="173" customWidth="1"/>
    <col min="4624" max="4860" width="8.5625" style="173"/>
    <col min="4861" max="4861" width="7.0625" style="173" customWidth="1"/>
    <col min="4862" max="4862" width="11.0625" style="173" customWidth="1"/>
    <col min="4863" max="4863" width="22.5" style="173" customWidth="1"/>
    <col min="4864" max="4864" width="25.25" style="173" customWidth="1"/>
    <col min="4865" max="4865" width="14.75" style="173" customWidth="1"/>
    <col min="4866" max="4867" width="11.8125" style="173" customWidth="1"/>
    <col min="4868" max="4868" width="0" style="173" hidden="1" customWidth="1"/>
    <col min="4869" max="4869" width="11.3125" style="173" customWidth="1"/>
    <col min="4870" max="4870" width="8.5" style="173" customWidth="1"/>
    <col min="4871" max="4871" width="10.3125" style="173" customWidth="1"/>
    <col min="4872" max="4872" width="8.3125" style="173" customWidth="1"/>
    <col min="4873" max="4873" width="10.25" style="173" customWidth="1"/>
    <col min="4874" max="4874" width="7.25" style="173" customWidth="1"/>
    <col min="4875" max="4875" width="11.8125" style="173" customWidth="1"/>
    <col min="4876" max="4876" width="7.25" style="173" customWidth="1"/>
    <col min="4877" max="4877" width="27.5" style="173" customWidth="1"/>
    <col min="4878" max="4878" width="8.5625" style="173"/>
    <col min="4879" max="4879" width="12.8125" style="173" customWidth="1"/>
    <col min="4880" max="5116" width="8.5625" style="173"/>
    <col min="5117" max="5117" width="7.0625" style="173" customWidth="1"/>
    <col min="5118" max="5118" width="11.0625" style="173" customWidth="1"/>
    <col min="5119" max="5119" width="22.5" style="173" customWidth="1"/>
    <col min="5120" max="5120" width="25.25" style="173" customWidth="1"/>
    <col min="5121" max="5121" width="14.75" style="173" customWidth="1"/>
    <col min="5122" max="5123" width="11.8125" style="173" customWidth="1"/>
    <col min="5124" max="5124" width="0" style="173" hidden="1" customWidth="1"/>
    <col min="5125" max="5125" width="11.3125" style="173" customWidth="1"/>
    <col min="5126" max="5126" width="8.5" style="173" customWidth="1"/>
    <col min="5127" max="5127" width="10.3125" style="173" customWidth="1"/>
    <col min="5128" max="5128" width="8.3125" style="173" customWidth="1"/>
    <col min="5129" max="5129" width="10.25" style="173" customWidth="1"/>
    <col min="5130" max="5130" width="7.25" style="173" customWidth="1"/>
    <col min="5131" max="5131" width="11.8125" style="173" customWidth="1"/>
    <col min="5132" max="5132" width="7.25" style="173" customWidth="1"/>
    <col min="5133" max="5133" width="27.5" style="173" customWidth="1"/>
    <col min="5134" max="5134" width="8.5625" style="173"/>
    <col min="5135" max="5135" width="12.8125" style="173" customWidth="1"/>
    <col min="5136" max="5372" width="8.5625" style="173"/>
    <col min="5373" max="5373" width="7.0625" style="173" customWidth="1"/>
    <col min="5374" max="5374" width="11.0625" style="173" customWidth="1"/>
    <col min="5375" max="5375" width="22.5" style="173" customWidth="1"/>
    <col min="5376" max="5376" width="25.25" style="173" customWidth="1"/>
    <col min="5377" max="5377" width="14.75" style="173" customWidth="1"/>
    <col min="5378" max="5379" width="11.8125" style="173" customWidth="1"/>
    <col min="5380" max="5380" width="0" style="173" hidden="1" customWidth="1"/>
    <col min="5381" max="5381" width="11.3125" style="173" customWidth="1"/>
    <col min="5382" max="5382" width="8.5" style="173" customWidth="1"/>
    <col min="5383" max="5383" width="10.3125" style="173" customWidth="1"/>
    <col min="5384" max="5384" width="8.3125" style="173" customWidth="1"/>
    <col min="5385" max="5385" width="10.25" style="173" customWidth="1"/>
    <col min="5386" max="5386" width="7.25" style="173" customWidth="1"/>
    <col min="5387" max="5387" width="11.8125" style="173" customWidth="1"/>
    <col min="5388" max="5388" width="7.25" style="173" customWidth="1"/>
    <col min="5389" max="5389" width="27.5" style="173" customWidth="1"/>
    <col min="5390" max="5390" width="8.5625" style="173"/>
    <col min="5391" max="5391" width="12.8125" style="173" customWidth="1"/>
    <col min="5392" max="5628" width="8.5625" style="173"/>
    <col min="5629" max="5629" width="7.0625" style="173" customWidth="1"/>
    <col min="5630" max="5630" width="11.0625" style="173" customWidth="1"/>
    <col min="5631" max="5631" width="22.5" style="173" customWidth="1"/>
    <col min="5632" max="5632" width="25.25" style="173" customWidth="1"/>
    <col min="5633" max="5633" width="14.75" style="173" customWidth="1"/>
    <col min="5634" max="5635" width="11.8125" style="173" customWidth="1"/>
    <col min="5636" max="5636" width="0" style="173" hidden="1" customWidth="1"/>
    <col min="5637" max="5637" width="11.3125" style="173" customWidth="1"/>
    <col min="5638" max="5638" width="8.5" style="173" customWidth="1"/>
    <col min="5639" max="5639" width="10.3125" style="173" customWidth="1"/>
    <col min="5640" max="5640" width="8.3125" style="173" customWidth="1"/>
    <col min="5641" max="5641" width="10.25" style="173" customWidth="1"/>
    <col min="5642" max="5642" width="7.25" style="173" customWidth="1"/>
    <col min="5643" max="5643" width="11.8125" style="173" customWidth="1"/>
    <col min="5644" max="5644" width="7.25" style="173" customWidth="1"/>
    <col min="5645" max="5645" width="27.5" style="173" customWidth="1"/>
    <col min="5646" max="5646" width="8.5625" style="173"/>
    <col min="5647" max="5647" width="12.8125" style="173" customWidth="1"/>
    <col min="5648" max="5884" width="8.5625" style="173"/>
    <col min="5885" max="5885" width="7.0625" style="173" customWidth="1"/>
    <col min="5886" max="5886" width="11.0625" style="173" customWidth="1"/>
    <col min="5887" max="5887" width="22.5" style="173" customWidth="1"/>
    <col min="5888" max="5888" width="25.25" style="173" customWidth="1"/>
    <col min="5889" max="5889" width="14.75" style="173" customWidth="1"/>
    <col min="5890" max="5891" width="11.8125" style="173" customWidth="1"/>
    <col min="5892" max="5892" width="0" style="173" hidden="1" customWidth="1"/>
    <col min="5893" max="5893" width="11.3125" style="173" customWidth="1"/>
    <col min="5894" max="5894" width="8.5" style="173" customWidth="1"/>
    <col min="5895" max="5895" width="10.3125" style="173" customWidth="1"/>
    <col min="5896" max="5896" width="8.3125" style="173" customWidth="1"/>
    <col min="5897" max="5897" width="10.25" style="173" customWidth="1"/>
    <col min="5898" max="5898" width="7.25" style="173" customWidth="1"/>
    <col min="5899" max="5899" width="11.8125" style="173" customWidth="1"/>
    <col min="5900" max="5900" width="7.25" style="173" customWidth="1"/>
    <col min="5901" max="5901" width="27.5" style="173" customWidth="1"/>
    <col min="5902" max="5902" width="8.5625" style="173"/>
    <col min="5903" max="5903" width="12.8125" style="173" customWidth="1"/>
    <col min="5904" max="6140" width="8.5625" style="173"/>
    <col min="6141" max="6141" width="7.0625" style="173" customWidth="1"/>
    <col min="6142" max="6142" width="11.0625" style="173" customWidth="1"/>
    <col min="6143" max="6143" width="22.5" style="173" customWidth="1"/>
    <col min="6144" max="6144" width="25.25" style="173" customWidth="1"/>
    <col min="6145" max="6145" width="14.75" style="173" customWidth="1"/>
    <col min="6146" max="6147" width="11.8125" style="173" customWidth="1"/>
    <col min="6148" max="6148" width="0" style="173" hidden="1" customWidth="1"/>
    <col min="6149" max="6149" width="11.3125" style="173" customWidth="1"/>
    <col min="6150" max="6150" width="8.5" style="173" customWidth="1"/>
    <col min="6151" max="6151" width="10.3125" style="173" customWidth="1"/>
    <col min="6152" max="6152" width="8.3125" style="173" customWidth="1"/>
    <col min="6153" max="6153" width="10.25" style="173" customWidth="1"/>
    <col min="6154" max="6154" width="7.25" style="173" customWidth="1"/>
    <col min="6155" max="6155" width="11.8125" style="173" customWidth="1"/>
    <col min="6156" max="6156" width="7.25" style="173" customWidth="1"/>
    <col min="6157" max="6157" width="27.5" style="173" customWidth="1"/>
    <col min="6158" max="6158" width="8.5625" style="173"/>
    <col min="6159" max="6159" width="12.8125" style="173" customWidth="1"/>
    <col min="6160" max="6396" width="8.5625" style="173"/>
    <col min="6397" max="6397" width="7.0625" style="173" customWidth="1"/>
    <col min="6398" max="6398" width="11.0625" style="173" customWidth="1"/>
    <col min="6399" max="6399" width="22.5" style="173" customWidth="1"/>
    <col min="6400" max="6400" width="25.25" style="173" customWidth="1"/>
    <col min="6401" max="6401" width="14.75" style="173" customWidth="1"/>
    <col min="6402" max="6403" width="11.8125" style="173" customWidth="1"/>
    <col min="6404" max="6404" width="0" style="173" hidden="1" customWidth="1"/>
    <col min="6405" max="6405" width="11.3125" style="173" customWidth="1"/>
    <col min="6406" max="6406" width="8.5" style="173" customWidth="1"/>
    <col min="6407" max="6407" width="10.3125" style="173" customWidth="1"/>
    <col min="6408" max="6408" width="8.3125" style="173" customWidth="1"/>
    <col min="6409" max="6409" width="10.25" style="173" customWidth="1"/>
    <col min="6410" max="6410" width="7.25" style="173" customWidth="1"/>
    <col min="6411" max="6411" width="11.8125" style="173" customWidth="1"/>
    <col min="6412" max="6412" width="7.25" style="173" customWidth="1"/>
    <col min="6413" max="6413" width="27.5" style="173" customWidth="1"/>
    <col min="6414" max="6414" width="8.5625" style="173"/>
    <col min="6415" max="6415" width="12.8125" style="173" customWidth="1"/>
    <col min="6416" max="6652" width="8.5625" style="173"/>
    <col min="6653" max="6653" width="7.0625" style="173" customWidth="1"/>
    <col min="6654" max="6654" width="11.0625" style="173" customWidth="1"/>
    <col min="6655" max="6655" width="22.5" style="173" customWidth="1"/>
    <col min="6656" max="6656" width="25.25" style="173" customWidth="1"/>
    <col min="6657" max="6657" width="14.75" style="173" customWidth="1"/>
    <col min="6658" max="6659" width="11.8125" style="173" customWidth="1"/>
    <col min="6660" max="6660" width="0" style="173" hidden="1" customWidth="1"/>
    <col min="6661" max="6661" width="11.3125" style="173" customWidth="1"/>
    <col min="6662" max="6662" width="8.5" style="173" customWidth="1"/>
    <col min="6663" max="6663" width="10.3125" style="173" customWidth="1"/>
    <col min="6664" max="6664" width="8.3125" style="173" customWidth="1"/>
    <col min="6665" max="6665" width="10.25" style="173" customWidth="1"/>
    <col min="6666" max="6666" width="7.25" style="173" customWidth="1"/>
    <col min="6667" max="6667" width="11.8125" style="173" customWidth="1"/>
    <col min="6668" max="6668" width="7.25" style="173" customWidth="1"/>
    <col min="6669" max="6669" width="27.5" style="173" customWidth="1"/>
    <col min="6670" max="6670" width="8.5625" style="173"/>
    <col min="6671" max="6671" width="12.8125" style="173" customWidth="1"/>
    <col min="6672" max="6908" width="8.5625" style="173"/>
    <col min="6909" max="6909" width="7.0625" style="173" customWidth="1"/>
    <col min="6910" max="6910" width="11.0625" style="173" customWidth="1"/>
    <col min="6911" max="6911" width="22.5" style="173" customWidth="1"/>
    <col min="6912" max="6912" width="25.25" style="173" customWidth="1"/>
    <col min="6913" max="6913" width="14.75" style="173" customWidth="1"/>
    <col min="6914" max="6915" width="11.8125" style="173" customWidth="1"/>
    <col min="6916" max="6916" width="0" style="173" hidden="1" customWidth="1"/>
    <col min="6917" max="6917" width="11.3125" style="173" customWidth="1"/>
    <col min="6918" max="6918" width="8.5" style="173" customWidth="1"/>
    <col min="6919" max="6919" width="10.3125" style="173" customWidth="1"/>
    <col min="6920" max="6920" width="8.3125" style="173" customWidth="1"/>
    <col min="6921" max="6921" width="10.25" style="173" customWidth="1"/>
    <col min="6922" max="6922" width="7.25" style="173" customWidth="1"/>
    <col min="6923" max="6923" width="11.8125" style="173" customWidth="1"/>
    <col min="6924" max="6924" width="7.25" style="173" customWidth="1"/>
    <col min="6925" max="6925" width="27.5" style="173" customWidth="1"/>
    <col min="6926" max="6926" width="8.5625" style="173"/>
    <col min="6927" max="6927" width="12.8125" style="173" customWidth="1"/>
    <col min="6928" max="7164" width="8.5625" style="173"/>
    <col min="7165" max="7165" width="7.0625" style="173" customWidth="1"/>
    <col min="7166" max="7166" width="11.0625" style="173" customWidth="1"/>
    <col min="7167" max="7167" width="22.5" style="173" customWidth="1"/>
    <col min="7168" max="7168" width="25.25" style="173" customWidth="1"/>
    <col min="7169" max="7169" width="14.75" style="173" customWidth="1"/>
    <col min="7170" max="7171" width="11.8125" style="173" customWidth="1"/>
    <col min="7172" max="7172" width="0" style="173" hidden="1" customWidth="1"/>
    <col min="7173" max="7173" width="11.3125" style="173" customWidth="1"/>
    <col min="7174" max="7174" width="8.5" style="173" customWidth="1"/>
    <col min="7175" max="7175" width="10.3125" style="173" customWidth="1"/>
    <col min="7176" max="7176" width="8.3125" style="173" customWidth="1"/>
    <col min="7177" max="7177" width="10.25" style="173" customWidth="1"/>
    <col min="7178" max="7178" width="7.25" style="173" customWidth="1"/>
    <col min="7179" max="7179" width="11.8125" style="173" customWidth="1"/>
    <col min="7180" max="7180" width="7.25" style="173" customWidth="1"/>
    <col min="7181" max="7181" width="27.5" style="173" customWidth="1"/>
    <col min="7182" max="7182" width="8.5625" style="173"/>
    <col min="7183" max="7183" width="12.8125" style="173" customWidth="1"/>
    <col min="7184" max="7420" width="8.5625" style="173"/>
    <col min="7421" max="7421" width="7.0625" style="173" customWidth="1"/>
    <col min="7422" max="7422" width="11.0625" style="173" customWidth="1"/>
    <col min="7423" max="7423" width="22.5" style="173" customWidth="1"/>
    <col min="7424" max="7424" width="25.25" style="173" customWidth="1"/>
    <col min="7425" max="7425" width="14.75" style="173" customWidth="1"/>
    <col min="7426" max="7427" width="11.8125" style="173" customWidth="1"/>
    <col min="7428" max="7428" width="0" style="173" hidden="1" customWidth="1"/>
    <col min="7429" max="7429" width="11.3125" style="173" customWidth="1"/>
    <col min="7430" max="7430" width="8.5" style="173" customWidth="1"/>
    <col min="7431" max="7431" width="10.3125" style="173" customWidth="1"/>
    <col min="7432" max="7432" width="8.3125" style="173" customWidth="1"/>
    <col min="7433" max="7433" width="10.25" style="173" customWidth="1"/>
    <col min="7434" max="7434" width="7.25" style="173" customWidth="1"/>
    <col min="7435" max="7435" width="11.8125" style="173" customWidth="1"/>
    <col min="7436" max="7436" width="7.25" style="173" customWidth="1"/>
    <col min="7437" max="7437" width="27.5" style="173" customWidth="1"/>
    <col min="7438" max="7438" width="8.5625" style="173"/>
    <col min="7439" max="7439" width="12.8125" style="173" customWidth="1"/>
    <col min="7440" max="7676" width="8.5625" style="173"/>
    <col min="7677" max="7677" width="7.0625" style="173" customWidth="1"/>
    <col min="7678" max="7678" width="11.0625" style="173" customWidth="1"/>
    <col min="7679" max="7679" width="22.5" style="173" customWidth="1"/>
    <col min="7680" max="7680" width="25.25" style="173" customWidth="1"/>
    <col min="7681" max="7681" width="14.75" style="173" customWidth="1"/>
    <col min="7682" max="7683" width="11.8125" style="173" customWidth="1"/>
    <col min="7684" max="7684" width="0" style="173" hidden="1" customWidth="1"/>
    <col min="7685" max="7685" width="11.3125" style="173" customWidth="1"/>
    <col min="7686" max="7686" width="8.5" style="173" customWidth="1"/>
    <col min="7687" max="7687" width="10.3125" style="173" customWidth="1"/>
    <col min="7688" max="7688" width="8.3125" style="173" customWidth="1"/>
    <col min="7689" max="7689" width="10.25" style="173" customWidth="1"/>
    <col min="7690" max="7690" width="7.25" style="173" customWidth="1"/>
    <col min="7691" max="7691" width="11.8125" style="173" customWidth="1"/>
    <col min="7692" max="7692" width="7.25" style="173" customWidth="1"/>
    <col min="7693" max="7693" width="27.5" style="173" customWidth="1"/>
    <col min="7694" max="7694" width="8.5625" style="173"/>
    <col min="7695" max="7695" width="12.8125" style="173" customWidth="1"/>
    <col min="7696" max="7932" width="8.5625" style="173"/>
    <col min="7933" max="7933" width="7.0625" style="173" customWidth="1"/>
    <col min="7934" max="7934" width="11.0625" style="173" customWidth="1"/>
    <col min="7935" max="7935" width="22.5" style="173" customWidth="1"/>
    <col min="7936" max="7936" width="25.25" style="173" customWidth="1"/>
    <col min="7937" max="7937" width="14.75" style="173" customWidth="1"/>
    <col min="7938" max="7939" width="11.8125" style="173" customWidth="1"/>
    <col min="7940" max="7940" width="0" style="173" hidden="1" customWidth="1"/>
    <col min="7941" max="7941" width="11.3125" style="173" customWidth="1"/>
    <col min="7942" max="7942" width="8.5" style="173" customWidth="1"/>
    <col min="7943" max="7943" width="10.3125" style="173" customWidth="1"/>
    <col min="7944" max="7944" width="8.3125" style="173" customWidth="1"/>
    <col min="7945" max="7945" width="10.25" style="173" customWidth="1"/>
    <col min="7946" max="7946" width="7.25" style="173" customWidth="1"/>
    <col min="7947" max="7947" width="11.8125" style="173" customWidth="1"/>
    <col min="7948" max="7948" width="7.25" style="173" customWidth="1"/>
    <col min="7949" max="7949" width="27.5" style="173" customWidth="1"/>
    <col min="7950" max="7950" width="8.5625" style="173"/>
    <col min="7951" max="7951" width="12.8125" style="173" customWidth="1"/>
    <col min="7952" max="8188" width="8.5625" style="173"/>
    <col min="8189" max="8189" width="7.0625" style="173" customWidth="1"/>
    <col min="8190" max="8190" width="11.0625" style="173" customWidth="1"/>
    <col min="8191" max="8191" width="22.5" style="173" customWidth="1"/>
    <col min="8192" max="8192" width="25.25" style="173" customWidth="1"/>
    <col min="8193" max="8193" width="14.75" style="173" customWidth="1"/>
    <col min="8194" max="8195" width="11.8125" style="173" customWidth="1"/>
    <col min="8196" max="8196" width="0" style="173" hidden="1" customWidth="1"/>
    <col min="8197" max="8197" width="11.3125" style="173" customWidth="1"/>
    <col min="8198" max="8198" width="8.5" style="173" customWidth="1"/>
    <col min="8199" max="8199" width="10.3125" style="173" customWidth="1"/>
    <col min="8200" max="8200" width="8.3125" style="173" customWidth="1"/>
    <col min="8201" max="8201" width="10.25" style="173" customWidth="1"/>
    <col min="8202" max="8202" width="7.25" style="173" customWidth="1"/>
    <col min="8203" max="8203" width="11.8125" style="173" customWidth="1"/>
    <col min="8204" max="8204" width="7.25" style="173" customWidth="1"/>
    <col min="8205" max="8205" width="27.5" style="173" customWidth="1"/>
    <col min="8206" max="8206" width="8.5625" style="173"/>
    <col min="8207" max="8207" width="12.8125" style="173" customWidth="1"/>
    <col min="8208" max="8444" width="8.5625" style="173"/>
    <col min="8445" max="8445" width="7.0625" style="173" customWidth="1"/>
    <col min="8446" max="8446" width="11.0625" style="173" customWidth="1"/>
    <col min="8447" max="8447" width="22.5" style="173" customWidth="1"/>
    <col min="8448" max="8448" width="25.25" style="173" customWidth="1"/>
    <col min="8449" max="8449" width="14.75" style="173" customWidth="1"/>
    <col min="8450" max="8451" width="11.8125" style="173" customWidth="1"/>
    <col min="8452" max="8452" width="0" style="173" hidden="1" customWidth="1"/>
    <col min="8453" max="8453" width="11.3125" style="173" customWidth="1"/>
    <col min="8454" max="8454" width="8.5" style="173" customWidth="1"/>
    <col min="8455" max="8455" width="10.3125" style="173" customWidth="1"/>
    <col min="8456" max="8456" width="8.3125" style="173" customWidth="1"/>
    <col min="8457" max="8457" width="10.25" style="173" customWidth="1"/>
    <col min="8458" max="8458" width="7.25" style="173" customWidth="1"/>
    <col min="8459" max="8459" width="11.8125" style="173" customWidth="1"/>
    <col min="8460" max="8460" width="7.25" style="173" customWidth="1"/>
    <col min="8461" max="8461" width="27.5" style="173" customWidth="1"/>
    <col min="8462" max="8462" width="8.5625" style="173"/>
    <col min="8463" max="8463" width="12.8125" style="173" customWidth="1"/>
    <col min="8464" max="8700" width="8.5625" style="173"/>
    <col min="8701" max="8701" width="7.0625" style="173" customWidth="1"/>
    <col min="8702" max="8702" width="11.0625" style="173" customWidth="1"/>
    <col min="8703" max="8703" width="22.5" style="173" customWidth="1"/>
    <col min="8704" max="8704" width="25.25" style="173" customWidth="1"/>
    <col min="8705" max="8705" width="14.75" style="173" customWidth="1"/>
    <col min="8706" max="8707" width="11.8125" style="173" customWidth="1"/>
    <col min="8708" max="8708" width="0" style="173" hidden="1" customWidth="1"/>
    <col min="8709" max="8709" width="11.3125" style="173" customWidth="1"/>
    <col min="8710" max="8710" width="8.5" style="173" customWidth="1"/>
    <col min="8711" max="8711" width="10.3125" style="173" customWidth="1"/>
    <col min="8712" max="8712" width="8.3125" style="173" customWidth="1"/>
    <col min="8713" max="8713" width="10.25" style="173" customWidth="1"/>
    <col min="8714" max="8714" width="7.25" style="173" customWidth="1"/>
    <col min="8715" max="8715" width="11.8125" style="173" customWidth="1"/>
    <col min="8716" max="8716" width="7.25" style="173" customWidth="1"/>
    <col min="8717" max="8717" width="27.5" style="173" customWidth="1"/>
    <col min="8718" max="8718" width="8.5625" style="173"/>
    <col min="8719" max="8719" width="12.8125" style="173" customWidth="1"/>
    <col min="8720" max="8956" width="8.5625" style="173"/>
    <col min="8957" max="8957" width="7.0625" style="173" customWidth="1"/>
    <col min="8958" max="8958" width="11.0625" style="173" customWidth="1"/>
    <col min="8959" max="8959" width="22.5" style="173" customWidth="1"/>
    <col min="8960" max="8960" width="25.25" style="173" customWidth="1"/>
    <col min="8961" max="8961" width="14.75" style="173" customWidth="1"/>
    <col min="8962" max="8963" width="11.8125" style="173" customWidth="1"/>
    <col min="8964" max="8964" width="0" style="173" hidden="1" customWidth="1"/>
    <col min="8965" max="8965" width="11.3125" style="173" customWidth="1"/>
    <col min="8966" max="8966" width="8.5" style="173" customWidth="1"/>
    <col min="8967" max="8967" width="10.3125" style="173" customWidth="1"/>
    <col min="8968" max="8968" width="8.3125" style="173" customWidth="1"/>
    <col min="8969" max="8969" width="10.25" style="173" customWidth="1"/>
    <col min="8970" max="8970" width="7.25" style="173" customWidth="1"/>
    <col min="8971" max="8971" width="11.8125" style="173" customWidth="1"/>
    <col min="8972" max="8972" width="7.25" style="173" customWidth="1"/>
    <col min="8973" max="8973" width="27.5" style="173" customWidth="1"/>
    <col min="8974" max="8974" width="8.5625" style="173"/>
    <col min="8975" max="8975" width="12.8125" style="173" customWidth="1"/>
    <col min="8976" max="9212" width="8.5625" style="173"/>
    <col min="9213" max="9213" width="7.0625" style="173" customWidth="1"/>
    <col min="9214" max="9214" width="11.0625" style="173" customWidth="1"/>
    <col min="9215" max="9215" width="22.5" style="173" customWidth="1"/>
    <col min="9216" max="9216" width="25.25" style="173" customWidth="1"/>
    <col min="9217" max="9217" width="14.75" style="173" customWidth="1"/>
    <col min="9218" max="9219" width="11.8125" style="173" customWidth="1"/>
    <col min="9220" max="9220" width="0" style="173" hidden="1" customWidth="1"/>
    <col min="9221" max="9221" width="11.3125" style="173" customWidth="1"/>
    <col min="9222" max="9222" width="8.5" style="173" customWidth="1"/>
    <col min="9223" max="9223" width="10.3125" style="173" customWidth="1"/>
    <col min="9224" max="9224" width="8.3125" style="173" customWidth="1"/>
    <col min="9225" max="9225" width="10.25" style="173" customWidth="1"/>
    <col min="9226" max="9226" width="7.25" style="173" customWidth="1"/>
    <col min="9227" max="9227" width="11.8125" style="173" customWidth="1"/>
    <col min="9228" max="9228" width="7.25" style="173" customWidth="1"/>
    <col min="9229" max="9229" width="27.5" style="173" customWidth="1"/>
    <col min="9230" max="9230" width="8.5625" style="173"/>
    <col min="9231" max="9231" width="12.8125" style="173" customWidth="1"/>
    <col min="9232" max="9468" width="8.5625" style="173"/>
    <col min="9469" max="9469" width="7.0625" style="173" customWidth="1"/>
    <col min="9470" max="9470" width="11.0625" style="173" customWidth="1"/>
    <col min="9471" max="9471" width="22.5" style="173" customWidth="1"/>
    <col min="9472" max="9472" width="25.25" style="173" customWidth="1"/>
    <col min="9473" max="9473" width="14.75" style="173" customWidth="1"/>
    <col min="9474" max="9475" width="11.8125" style="173" customWidth="1"/>
    <col min="9476" max="9476" width="0" style="173" hidden="1" customWidth="1"/>
    <col min="9477" max="9477" width="11.3125" style="173" customWidth="1"/>
    <col min="9478" max="9478" width="8.5" style="173" customWidth="1"/>
    <col min="9479" max="9479" width="10.3125" style="173" customWidth="1"/>
    <col min="9480" max="9480" width="8.3125" style="173" customWidth="1"/>
    <col min="9481" max="9481" width="10.25" style="173" customWidth="1"/>
    <col min="9482" max="9482" width="7.25" style="173" customWidth="1"/>
    <col min="9483" max="9483" width="11.8125" style="173" customWidth="1"/>
    <col min="9484" max="9484" width="7.25" style="173" customWidth="1"/>
    <col min="9485" max="9485" width="27.5" style="173" customWidth="1"/>
    <col min="9486" max="9486" width="8.5625" style="173"/>
    <col min="9487" max="9487" width="12.8125" style="173" customWidth="1"/>
    <col min="9488" max="9724" width="8.5625" style="173"/>
    <col min="9725" max="9725" width="7.0625" style="173" customWidth="1"/>
    <col min="9726" max="9726" width="11.0625" style="173" customWidth="1"/>
    <col min="9727" max="9727" width="22.5" style="173" customWidth="1"/>
    <col min="9728" max="9728" width="25.25" style="173" customWidth="1"/>
    <col min="9729" max="9729" width="14.75" style="173" customWidth="1"/>
    <col min="9730" max="9731" width="11.8125" style="173" customWidth="1"/>
    <col min="9732" max="9732" width="0" style="173" hidden="1" customWidth="1"/>
    <col min="9733" max="9733" width="11.3125" style="173" customWidth="1"/>
    <col min="9734" max="9734" width="8.5" style="173" customWidth="1"/>
    <col min="9735" max="9735" width="10.3125" style="173" customWidth="1"/>
    <col min="9736" max="9736" width="8.3125" style="173" customWidth="1"/>
    <col min="9737" max="9737" width="10.25" style="173" customWidth="1"/>
    <col min="9738" max="9738" width="7.25" style="173" customWidth="1"/>
    <col min="9739" max="9739" width="11.8125" style="173" customWidth="1"/>
    <col min="9740" max="9740" width="7.25" style="173" customWidth="1"/>
    <col min="9741" max="9741" width="27.5" style="173" customWidth="1"/>
    <col min="9742" max="9742" width="8.5625" style="173"/>
    <col min="9743" max="9743" width="12.8125" style="173" customWidth="1"/>
    <col min="9744" max="9980" width="8.5625" style="173"/>
    <col min="9981" max="9981" width="7.0625" style="173" customWidth="1"/>
    <col min="9982" max="9982" width="11.0625" style="173" customWidth="1"/>
    <col min="9983" max="9983" width="22.5" style="173" customWidth="1"/>
    <col min="9984" max="9984" width="25.25" style="173" customWidth="1"/>
    <col min="9985" max="9985" width="14.75" style="173" customWidth="1"/>
    <col min="9986" max="9987" width="11.8125" style="173" customWidth="1"/>
    <col min="9988" max="9988" width="0" style="173" hidden="1" customWidth="1"/>
    <col min="9989" max="9989" width="11.3125" style="173" customWidth="1"/>
    <col min="9990" max="9990" width="8.5" style="173" customWidth="1"/>
    <col min="9991" max="9991" width="10.3125" style="173" customWidth="1"/>
    <col min="9992" max="9992" width="8.3125" style="173" customWidth="1"/>
    <col min="9993" max="9993" width="10.25" style="173" customWidth="1"/>
    <col min="9994" max="9994" width="7.25" style="173" customWidth="1"/>
    <col min="9995" max="9995" width="11.8125" style="173" customWidth="1"/>
    <col min="9996" max="9996" width="7.25" style="173" customWidth="1"/>
    <col min="9997" max="9997" width="27.5" style="173" customWidth="1"/>
    <col min="9998" max="9998" width="8.5625" style="173"/>
    <col min="9999" max="9999" width="12.8125" style="173" customWidth="1"/>
    <col min="10000" max="10236" width="8.5625" style="173"/>
    <col min="10237" max="10237" width="7.0625" style="173" customWidth="1"/>
    <col min="10238" max="10238" width="11.0625" style="173" customWidth="1"/>
    <col min="10239" max="10239" width="22.5" style="173" customWidth="1"/>
    <col min="10240" max="10240" width="25.25" style="173" customWidth="1"/>
    <col min="10241" max="10241" width="14.75" style="173" customWidth="1"/>
    <col min="10242" max="10243" width="11.8125" style="173" customWidth="1"/>
    <col min="10244" max="10244" width="0" style="173" hidden="1" customWidth="1"/>
    <col min="10245" max="10245" width="11.3125" style="173" customWidth="1"/>
    <col min="10246" max="10246" width="8.5" style="173" customWidth="1"/>
    <col min="10247" max="10247" width="10.3125" style="173" customWidth="1"/>
    <col min="10248" max="10248" width="8.3125" style="173" customWidth="1"/>
    <col min="10249" max="10249" width="10.25" style="173" customWidth="1"/>
    <col min="10250" max="10250" width="7.25" style="173" customWidth="1"/>
    <col min="10251" max="10251" width="11.8125" style="173" customWidth="1"/>
    <col min="10252" max="10252" width="7.25" style="173" customWidth="1"/>
    <col min="10253" max="10253" width="27.5" style="173" customWidth="1"/>
    <col min="10254" max="10254" width="8.5625" style="173"/>
    <col min="10255" max="10255" width="12.8125" style="173" customWidth="1"/>
    <col min="10256" max="10492" width="8.5625" style="173"/>
    <col min="10493" max="10493" width="7.0625" style="173" customWidth="1"/>
    <col min="10494" max="10494" width="11.0625" style="173" customWidth="1"/>
    <col min="10495" max="10495" width="22.5" style="173" customWidth="1"/>
    <col min="10496" max="10496" width="25.25" style="173" customWidth="1"/>
    <col min="10497" max="10497" width="14.75" style="173" customWidth="1"/>
    <col min="10498" max="10499" width="11.8125" style="173" customWidth="1"/>
    <col min="10500" max="10500" width="0" style="173" hidden="1" customWidth="1"/>
    <col min="10501" max="10501" width="11.3125" style="173" customWidth="1"/>
    <col min="10502" max="10502" width="8.5" style="173" customWidth="1"/>
    <col min="10503" max="10503" width="10.3125" style="173" customWidth="1"/>
    <col min="10504" max="10504" width="8.3125" style="173" customWidth="1"/>
    <col min="10505" max="10505" width="10.25" style="173" customWidth="1"/>
    <col min="10506" max="10506" width="7.25" style="173" customWidth="1"/>
    <col min="10507" max="10507" width="11.8125" style="173" customWidth="1"/>
    <col min="10508" max="10508" width="7.25" style="173" customWidth="1"/>
    <col min="10509" max="10509" width="27.5" style="173" customWidth="1"/>
    <col min="10510" max="10510" width="8.5625" style="173"/>
    <col min="10511" max="10511" width="12.8125" style="173" customWidth="1"/>
    <col min="10512" max="10748" width="8.5625" style="173"/>
    <col min="10749" max="10749" width="7.0625" style="173" customWidth="1"/>
    <col min="10750" max="10750" width="11.0625" style="173" customWidth="1"/>
    <col min="10751" max="10751" width="22.5" style="173" customWidth="1"/>
    <col min="10752" max="10752" width="25.25" style="173" customWidth="1"/>
    <col min="10753" max="10753" width="14.75" style="173" customWidth="1"/>
    <col min="10754" max="10755" width="11.8125" style="173" customWidth="1"/>
    <col min="10756" max="10756" width="0" style="173" hidden="1" customWidth="1"/>
    <col min="10757" max="10757" width="11.3125" style="173" customWidth="1"/>
    <col min="10758" max="10758" width="8.5" style="173" customWidth="1"/>
    <col min="10759" max="10759" width="10.3125" style="173" customWidth="1"/>
    <col min="10760" max="10760" width="8.3125" style="173" customWidth="1"/>
    <col min="10761" max="10761" width="10.25" style="173" customWidth="1"/>
    <col min="10762" max="10762" width="7.25" style="173" customWidth="1"/>
    <col min="10763" max="10763" width="11.8125" style="173" customWidth="1"/>
    <col min="10764" max="10764" width="7.25" style="173" customWidth="1"/>
    <col min="10765" max="10765" width="27.5" style="173" customWidth="1"/>
    <col min="10766" max="10766" width="8.5625" style="173"/>
    <col min="10767" max="10767" width="12.8125" style="173" customWidth="1"/>
    <col min="10768" max="11004" width="8.5625" style="173"/>
    <col min="11005" max="11005" width="7.0625" style="173" customWidth="1"/>
    <col min="11006" max="11006" width="11.0625" style="173" customWidth="1"/>
    <col min="11007" max="11007" width="22.5" style="173" customWidth="1"/>
    <col min="11008" max="11008" width="25.25" style="173" customWidth="1"/>
    <col min="11009" max="11009" width="14.75" style="173" customWidth="1"/>
    <col min="11010" max="11011" width="11.8125" style="173" customWidth="1"/>
    <col min="11012" max="11012" width="0" style="173" hidden="1" customWidth="1"/>
    <col min="11013" max="11013" width="11.3125" style="173" customWidth="1"/>
    <col min="11014" max="11014" width="8.5" style="173" customWidth="1"/>
    <col min="11015" max="11015" width="10.3125" style="173" customWidth="1"/>
    <col min="11016" max="11016" width="8.3125" style="173" customWidth="1"/>
    <col min="11017" max="11017" width="10.25" style="173" customWidth="1"/>
    <col min="11018" max="11018" width="7.25" style="173" customWidth="1"/>
    <col min="11019" max="11019" width="11.8125" style="173" customWidth="1"/>
    <col min="11020" max="11020" width="7.25" style="173" customWidth="1"/>
    <col min="11021" max="11021" width="27.5" style="173" customWidth="1"/>
    <col min="11022" max="11022" width="8.5625" style="173"/>
    <col min="11023" max="11023" width="12.8125" style="173" customWidth="1"/>
    <col min="11024" max="11260" width="8.5625" style="173"/>
    <col min="11261" max="11261" width="7.0625" style="173" customWidth="1"/>
    <col min="11262" max="11262" width="11.0625" style="173" customWidth="1"/>
    <col min="11263" max="11263" width="22.5" style="173" customWidth="1"/>
    <col min="11264" max="11264" width="25.25" style="173" customWidth="1"/>
    <col min="11265" max="11265" width="14.75" style="173" customWidth="1"/>
    <col min="11266" max="11267" width="11.8125" style="173" customWidth="1"/>
    <col min="11268" max="11268" width="0" style="173" hidden="1" customWidth="1"/>
    <col min="11269" max="11269" width="11.3125" style="173" customWidth="1"/>
    <col min="11270" max="11270" width="8.5" style="173" customWidth="1"/>
    <col min="11271" max="11271" width="10.3125" style="173" customWidth="1"/>
    <col min="11272" max="11272" width="8.3125" style="173" customWidth="1"/>
    <col min="11273" max="11273" width="10.25" style="173" customWidth="1"/>
    <col min="11274" max="11274" width="7.25" style="173" customWidth="1"/>
    <col min="11275" max="11275" width="11.8125" style="173" customWidth="1"/>
    <col min="11276" max="11276" width="7.25" style="173" customWidth="1"/>
    <col min="11277" max="11277" width="27.5" style="173" customWidth="1"/>
    <col min="11278" max="11278" width="8.5625" style="173"/>
    <col min="11279" max="11279" width="12.8125" style="173" customWidth="1"/>
    <col min="11280" max="11516" width="8.5625" style="173"/>
    <col min="11517" max="11517" width="7.0625" style="173" customWidth="1"/>
    <col min="11518" max="11518" width="11.0625" style="173" customWidth="1"/>
    <col min="11519" max="11519" width="22.5" style="173" customWidth="1"/>
    <col min="11520" max="11520" width="25.25" style="173" customWidth="1"/>
    <col min="11521" max="11521" width="14.75" style="173" customWidth="1"/>
    <col min="11522" max="11523" width="11.8125" style="173" customWidth="1"/>
    <col min="11524" max="11524" width="0" style="173" hidden="1" customWidth="1"/>
    <col min="11525" max="11525" width="11.3125" style="173" customWidth="1"/>
    <col min="11526" max="11526" width="8.5" style="173" customWidth="1"/>
    <col min="11527" max="11527" width="10.3125" style="173" customWidth="1"/>
    <col min="11528" max="11528" width="8.3125" style="173" customWidth="1"/>
    <col min="11529" max="11529" width="10.25" style="173" customWidth="1"/>
    <col min="11530" max="11530" width="7.25" style="173" customWidth="1"/>
    <col min="11531" max="11531" width="11.8125" style="173" customWidth="1"/>
    <col min="11532" max="11532" width="7.25" style="173" customWidth="1"/>
    <col min="11533" max="11533" width="27.5" style="173" customWidth="1"/>
    <col min="11534" max="11534" width="8.5625" style="173"/>
    <col min="11535" max="11535" width="12.8125" style="173" customWidth="1"/>
    <col min="11536" max="11772" width="8.5625" style="173"/>
    <col min="11773" max="11773" width="7.0625" style="173" customWidth="1"/>
    <col min="11774" max="11774" width="11.0625" style="173" customWidth="1"/>
    <col min="11775" max="11775" width="22.5" style="173" customWidth="1"/>
    <col min="11776" max="11776" width="25.25" style="173" customWidth="1"/>
    <col min="11777" max="11777" width="14.75" style="173" customWidth="1"/>
    <col min="11778" max="11779" width="11.8125" style="173" customWidth="1"/>
    <col min="11780" max="11780" width="0" style="173" hidden="1" customWidth="1"/>
    <col min="11781" max="11781" width="11.3125" style="173" customWidth="1"/>
    <col min="11782" max="11782" width="8.5" style="173" customWidth="1"/>
    <col min="11783" max="11783" width="10.3125" style="173" customWidth="1"/>
    <col min="11784" max="11784" width="8.3125" style="173" customWidth="1"/>
    <col min="11785" max="11785" width="10.25" style="173" customWidth="1"/>
    <col min="11786" max="11786" width="7.25" style="173" customWidth="1"/>
    <col min="11787" max="11787" width="11.8125" style="173" customWidth="1"/>
    <col min="11788" max="11788" width="7.25" style="173" customWidth="1"/>
    <col min="11789" max="11789" width="27.5" style="173" customWidth="1"/>
    <col min="11790" max="11790" width="8.5625" style="173"/>
    <col min="11791" max="11791" width="12.8125" style="173" customWidth="1"/>
    <col min="11792" max="12028" width="8.5625" style="173"/>
    <col min="12029" max="12029" width="7.0625" style="173" customWidth="1"/>
    <col min="12030" max="12030" width="11.0625" style="173" customWidth="1"/>
    <col min="12031" max="12031" width="22.5" style="173" customWidth="1"/>
    <col min="12032" max="12032" width="25.25" style="173" customWidth="1"/>
    <col min="12033" max="12033" width="14.75" style="173" customWidth="1"/>
    <col min="12034" max="12035" width="11.8125" style="173" customWidth="1"/>
    <col min="12036" max="12036" width="0" style="173" hidden="1" customWidth="1"/>
    <col min="12037" max="12037" width="11.3125" style="173" customWidth="1"/>
    <col min="12038" max="12038" width="8.5" style="173" customWidth="1"/>
    <col min="12039" max="12039" width="10.3125" style="173" customWidth="1"/>
    <col min="12040" max="12040" width="8.3125" style="173" customWidth="1"/>
    <col min="12041" max="12041" width="10.25" style="173" customWidth="1"/>
    <col min="12042" max="12042" width="7.25" style="173" customWidth="1"/>
    <col min="12043" max="12043" width="11.8125" style="173" customWidth="1"/>
    <col min="12044" max="12044" width="7.25" style="173" customWidth="1"/>
    <col min="12045" max="12045" width="27.5" style="173" customWidth="1"/>
    <col min="12046" max="12046" width="8.5625" style="173"/>
    <col min="12047" max="12047" width="12.8125" style="173" customWidth="1"/>
    <col min="12048" max="12284" width="8.5625" style="173"/>
    <col min="12285" max="12285" width="7.0625" style="173" customWidth="1"/>
    <col min="12286" max="12286" width="11.0625" style="173" customWidth="1"/>
    <col min="12287" max="12287" width="22.5" style="173" customWidth="1"/>
    <col min="12288" max="12288" width="25.25" style="173" customWidth="1"/>
    <col min="12289" max="12289" width="14.75" style="173" customWidth="1"/>
    <col min="12290" max="12291" width="11.8125" style="173" customWidth="1"/>
    <col min="12292" max="12292" width="0" style="173" hidden="1" customWidth="1"/>
    <col min="12293" max="12293" width="11.3125" style="173" customWidth="1"/>
    <col min="12294" max="12294" width="8.5" style="173" customWidth="1"/>
    <col min="12295" max="12295" width="10.3125" style="173" customWidth="1"/>
    <col min="12296" max="12296" width="8.3125" style="173" customWidth="1"/>
    <col min="12297" max="12297" width="10.25" style="173" customWidth="1"/>
    <col min="12298" max="12298" width="7.25" style="173" customWidth="1"/>
    <col min="12299" max="12299" width="11.8125" style="173" customWidth="1"/>
    <col min="12300" max="12300" width="7.25" style="173" customWidth="1"/>
    <col min="12301" max="12301" width="27.5" style="173" customWidth="1"/>
    <col min="12302" max="12302" width="8.5625" style="173"/>
    <col min="12303" max="12303" width="12.8125" style="173" customWidth="1"/>
    <col min="12304" max="12540" width="8.5625" style="173"/>
    <col min="12541" max="12541" width="7.0625" style="173" customWidth="1"/>
    <col min="12542" max="12542" width="11.0625" style="173" customWidth="1"/>
    <col min="12543" max="12543" width="22.5" style="173" customWidth="1"/>
    <col min="12544" max="12544" width="25.25" style="173" customWidth="1"/>
    <col min="12545" max="12545" width="14.75" style="173" customWidth="1"/>
    <col min="12546" max="12547" width="11.8125" style="173" customWidth="1"/>
    <col min="12548" max="12548" width="0" style="173" hidden="1" customWidth="1"/>
    <col min="12549" max="12549" width="11.3125" style="173" customWidth="1"/>
    <col min="12550" max="12550" width="8.5" style="173" customWidth="1"/>
    <col min="12551" max="12551" width="10.3125" style="173" customWidth="1"/>
    <col min="12552" max="12552" width="8.3125" style="173" customWidth="1"/>
    <col min="12553" max="12553" width="10.25" style="173" customWidth="1"/>
    <col min="12554" max="12554" width="7.25" style="173" customWidth="1"/>
    <col min="12555" max="12555" width="11.8125" style="173" customWidth="1"/>
    <col min="12556" max="12556" width="7.25" style="173" customWidth="1"/>
    <col min="12557" max="12557" width="27.5" style="173" customWidth="1"/>
    <col min="12558" max="12558" width="8.5625" style="173"/>
    <col min="12559" max="12559" width="12.8125" style="173" customWidth="1"/>
    <col min="12560" max="12796" width="8.5625" style="173"/>
    <col min="12797" max="12797" width="7.0625" style="173" customWidth="1"/>
    <col min="12798" max="12798" width="11.0625" style="173" customWidth="1"/>
    <col min="12799" max="12799" width="22.5" style="173" customWidth="1"/>
    <col min="12800" max="12800" width="25.25" style="173" customWidth="1"/>
    <col min="12801" max="12801" width="14.75" style="173" customWidth="1"/>
    <col min="12802" max="12803" width="11.8125" style="173" customWidth="1"/>
    <col min="12804" max="12804" width="0" style="173" hidden="1" customWidth="1"/>
    <col min="12805" max="12805" width="11.3125" style="173" customWidth="1"/>
    <col min="12806" max="12806" width="8.5" style="173" customWidth="1"/>
    <col min="12807" max="12807" width="10.3125" style="173" customWidth="1"/>
    <col min="12808" max="12808" width="8.3125" style="173" customWidth="1"/>
    <col min="12809" max="12809" width="10.25" style="173" customWidth="1"/>
    <col min="12810" max="12810" width="7.25" style="173" customWidth="1"/>
    <col min="12811" max="12811" width="11.8125" style="173" customWidth="1"/>
    <col min="12812" max="12812" width="7.25" style="173" customWidth="1"/>
    <col min="12813" max="12813" width="27.5" style="173" customWidth="1"/>
    <col min="12814" max="12814" width="8.5625" style="173"/>
    <col min="12815" max="12815" width="12.8125" style="173" customWidth="1"/>
    <col min="12816" max="13052" width="8.5625" style="173"/>
    <col min="13053" max="13053" width="7.0625" style="173" customWidth="1"/>
    <col min="13054" max="13054" width="11.0625" style="173" customWidth="1"/>
    <col min="13055" max="13055" width="22.5" style="173" customWidth="1"/>
    <col min="13056" max="13056" width="25.25" style="173" customWidth="1"/>
    <col min="13057" max="13057" width="14.75" style="173" customWidth="1"/>
    <col min="13058" max="13059" width="11.8125" style="173" customWidth="1"/>
    <col min="13060" max="13060" width="0" style="173" hidden="1" customWidth="1"/>
    <col min="13061" max="13061" width="11.3125" style="173" customWidth="1"/>
    <col min="13062" max="13062" width="8.5" style="173" customWidth="1"/>
    <col min="13063" max="13063" width="10.3125" style="173" customWidth="1"/>
    <col min="13064" max="13064" width="8.3125" style="173" customWidth="1"/>
    <col min="13065" max="13065" width="10.25" style="173" customWidth="1"/>
    <col min="13066" max="13066" width="7.25" style="173" customWidth="1"/>
    <col min="13067" max="13067" width="11.8125" style="173" customWidth="1"/>
    <col min="13068" max="13068" width="7.25" style="173" customWidth="1"/>
    <col min="13069" max="13069" width="27.5" style="173" customWidth="1"/>
    <col min="13070" max="13070" width="8.5625" style="173"/>
    <col min="13071" max="13071" width="12.8125" style="173" customWidth="1"/>
    <col min="13072" max="13308" width="8.5625" style="173"/>
    <col min="13309" max="13309" width="7.0625" style="173" customWidth="1"/>
    <col min="13310" max="13310" width="11.0625" style="173" customWidth="1"/>
    <col min="13311" max="13311" width="22.5" style="173" customWidth="1"/>
    <col min="13312" max="13312" width="25.25" style="173" customWidth="1"/>
    <col min="13313" max="13313" width="14.75" style="173" customWidth="1"/>
    <col min="13314" max="13315" width="11.8125" style="173" customWidth="1"/>
    <col min="13316" max="13316" width="0" style="173" hidden="1" customWidth="1"/>
    <col min="13317" max="13317" width="11.3125" style="173" customWidth="1"/>
    <col min="13318" max="13318" width="8.5" style="173" customWidth="1"/>
    <col min="13319" max="13319" width="10.3125" style="173" customWidth="1"/>
    <col min="13320" max="13320" width="8.3125" style="173" customWidth="1"/>
    <col min="13321" max="13321" width="10.25" style="173" customWidth="1"/>
    <col min="13322" max="13322" width="7.25" style="173" customWidth="1"/>
    <col min="13323" max="13323" width="11.8125" style="173" customWidth="1"/>
    <col min="13324" max="13324" width="7.25" style="173" customWidth="1"/>
    <col min="13325" max="13325" width="27.5" style="173" customWidth="1"/>
    <col min="13326" max="13326" width="8.5625" style="173"/>
    <col min="13327" max="13327" width="12.8125" style="173" customWidth="1"/>
    <col min="13328" max="13564" width="8.5625" style="173"/>
    <col min="13565" max="13565" width="7.0625" style="173" customWidth="1"/>
    <col min="13566" max="13566" width="11.0625" style="173" customWidth="1"/>
    <col min="13567" max="13567" width="22.5" style="173" customWidth="1"/>
    <col min="13568" max="13568" width="25.25" style="173" customWidth="1"/>
    <col min="13569" max="13569" width="14.75" style="173" customWidth="1"/>
    <col min="13570" max="13571" width="11.8125" style="173" customWidth="1"/>
    <col min="13572" max="13572" width="0" style="173" hidden="1" customWidth="1"/>
    <col min="13573" max="13573" width="11.3125" style="173" customWidth="1"/>
    <col min="13574" max="13574" width="8.5" style="173" customWidth="1"/>
    <col min="13575" max="13575" width="10.3125" style="173" customWidth="1"/>
    <col min="13576" max="13576" width="8.3125" style="173" customWidth="1"/>
    <col min="13577" max="13577" width="10.25" style="173" customWidth="1"/>
    <col min="13578" max="13578" width="7.25" style="173" customWidth="1"/>
    <col min="13579" max="13579" width="11.8125" style="173" customWidth="1"/>
    <col min="13580" max="13580" width="7.25" style="173" customWidth="1"/>
    <col min="13581" max="13581" width="27.5" style="173" customWidth="1"/>
    <col min="13582" max="13582" width="8.5625" style="173"/>
    <col min="13583" max="13583" width="12.8125" style="173" customWidth="1"/>
    <col min="13584" max="13820" width="8.5625" style="173"/>
    <col min="13821" max="13821" width="7.0625" style="173" customWidth="1"/>
    <col min="13822" max="13822" width="11.0625" style="173" customWidth="1"/>
    <col min="13823" max="13823" width="22.5" style="173" customWidth="1"/>
    <col min="13824" max="13824" width="25.25" style="173" customWidth="1"/>
    <col min="13825" max="13825" width="14.75" style="173" customWidth="1"/>
    <col min="13826" max="13827" width="11.8125" style="173" customWidth="1"/>
    <col min="13828" max="13828" width="0" style="173" hidden="1" customWidth="1"/>
    <col min="13829" max="13829" width="11.3125" style="173" customWidth="1"/>
    <col min="13830" max="13830" width="8.5" style="173" customWidth="1"/>
    <col min="13831" max="13831" width="10.3125" style="173" customWidth="1"/>
    <col min="13832" max="13832" width="8.3125" style="173" customWidth="1"/>
    <col min="13833" max="13833" width="10.25" style="173" customWidth="1"/>
    <col min="13834" max="13834" width="7.25" style="173" customWidth="1"/>
    <col min="13835" max="13835" width="11.8125" style="173" customWidth="1"/>
    <col min="13836" max="13836" width="7.25" style="173" customWidth="1"/>
    <col min="13837" max="13837" width="27.5" style="173" customWidth="1"/>
    <col min="13838" max="13838" width="8.5625" style="173"/>
    <col min="13839" max="13839" width="12.8125" style="173" customWidth="1"/>
    <col min="13840" max="14076" width="8.5625" style="173"/>
    <col min="14077" max="14077" width="7.0625" style="173" customWidth="1"/>
    <col min="14078" max="14078" width="11.0625" style="173" customWidth="1"/>
    <col min="14079" max="14079" width="22.5" style="173" customWidth="1"/>
    <col min="14080" max="14080" width="25.25" style="173" customWidth="1"/>
    <col min="14081" max="14081" width="14.75" style="173" customWidth="1"/>
    <col min="14082" max="14083" width="11.8125" style="173" customWidth="1"/>
    <col min="14084" max="14084" width="0" style="173" hidden="1" customWidth="1"/>
    <col min="14085" max="14085" width="11.3125" style="173" customWidth="1"/>
    <col min="14086" max="14086" width="8.5" style="173" customWidth="1"/>
    <col min="14087" max="14087" width="10.3125" style="173" customWidth="1"/>
    <col min="14088" max="14088" width="8.3125" style="173" customWidth="1"/>
    <col min="14089" max="14089" width="10.25" style="173" customWidth="1"/>
    <col min="14090" max="14090" width="7.25" style="173" customWidth="1"/>
    <col min="14091" max="14091" width="11.8125" style="173" customWidth="1"/>
    <col min="14092" max="14092" width="7.25" style="173" customWidth="1"/>
    <col min="14093" max="14093" width="27.5" style="173" customWidth="1"/>
    <col min="14094" max="14094" width="8.5625" style="173"/>
    <col min="14095" max="14095" width="12.8125" style="173" customWidth="1"/>
    <col min="14096" max="14332" width="8.5625" style="173"/>
    <col min="14333" max="14333" width="7.0625" style="173" customWidth="1"/>
    <col min="14334" max="14334" width="11.0625" style="173" customWidth="1"/>
    <col min="14335" max="14335" width="22.5" style="173" customWidth="1"/>
    <col min="14336" max="14336" width="25.25" style="173" customWidth="1"/>
    <col min="14337" max="14337" width="14.75" style="173" customWidth="1"/>
    <col min="14338" max="14339" width="11.8125" style="173" customWidth="1"/>
    <col min="14340" max="14340" width="0" style="173" hidden="1" customWidth="1"/>
    <col min="14341" max="14341" width="11.3125" style="173" customWidth="1"/>
    <col min="14342" max="14342" width="8.5" style="173" customWidth="1"/>
    <col min="14343" max="14343" width="10.3125" style="173" customWidth="1"/>
    <col min="14344" max="14344" width="8.3125" style="173" customWidth="1"/>
    <col min="14345" max="14345" width="10.25" style="173" customWidth="1"/>
    <col min="14346" max="14346" width="7.25" style="173" customWidth="1"/>
    <col min="14347" max="14347" width="11.8125" style="173" customWidth="1"/>
    <col min="14348" max="14348" width="7.25" style="173" customWidth="1"/>
    <col min="14349" max="14349" width="27.5" style="173" customWidth="1"/>
    <col min="14350" max="14350" width="8.5625" style="173"/>
    <col min="14351" max="14351" width="12.8125" style="173" customWidth="1"/>
    <col min="14352" max="14588" width="8.5625" style="173"/>
    <col min="14589" max="14589" width="7.0625" style="173" customWidth="1"/>
    <col min="14590" max="14590" width="11.0625" style="173" customWidth="1"/>
    <col min="14591" max="14591" width="22.5" style="173" customWidth="1"/>
    <col min="14592" max="14592" width="25.25" style="173" customWidth="1"/>
    <col min="14593" max="14593" width="14.75" style="173" customWidth="1"/>
    <col min="14594" max="14595" width="11.8125" style="173" customWidth="1"/>
    <col min="14596" max="14596" width="0" style="173" hidden="1" customWidth="1"/>
    <col min="14597" max="14597" width="11.3125" style="173" customWidth="1"/>
    <col min="14598" max="14598" width="8.5" style="173" customWidth="1"/>
    <col min="14599" max="14599" width="10.3125" style="173" customWidth="1"/>
    <col min="14600" max="14600" width="8.3125" style="173" customWidth="1"/>
    <col min="14601" max="14601" width="10.25" style="173" customWidth="1"/>
    <col min="14602" max="14602" width="7.25" style="173" customWidth="1"/>
    <col min="14603" max="14603" width="11.8125" style="173" customWidth="1"/>
    <col min="14604" max="14604" width="7.25" style="173" customWidth="1"/>
    <col min="14605" max="14605" width="27.5" style="173" customWidth="1"/>
    <col min="14606" max="14606" width="8.5625" style="173"/>
    <col min="14607" max="14607" width="12.8125" style="173" customWidth="1"/>
    <col min="14608" max="14844" width="8.5625" style="173"/>
    <col min="14845" max="14845" width="7.0625" style="173" customWidth="1"/>
    <col min="14846" max="14846" width="11.0625" style="173" customWidth="1"/>
    <col min="14847" max="14847" width="22.5" style="173" customWidth="1"/>
    <col min="14848" max="14848" width="25.25" style="173" customWidth="1"/>
    <col min="14849" max="14849" width="14.75" style="173" customWidth="1"/>
    <col min="14850" max="14851" width="11.8125" style="173" customWidth="1"/>
    <col min="14852" max="14852" width="0" style="173" hidden="1" customWidth="1"/>
    <col min="14853" max="14853" width="11.3125" style="173" customWidth="1"/>
    <col min="14854" max="14854" width="8.5" style="173" customWidth="1"/>
    <col min="14855" max="14855" width="10.3125" style="173" customWidth="1"/>
    <col min="14856" max="14856" width="8.3125" style="173" customWidth="1"/>
    <col min="14857" max="14857" width="10.25" style="173" customWidth="1"/>
    <col min="14858" max="14858" width="7.25" style="173" customWidth="1"/>
    <col min="14859" max="14859" width="11.8125" style="173" customWidth="1"/>
    <col min="14860" max="14860" width="7.25" style="173" customWidth="1"/>
    <col min="14861" max="14861" width="27.5" style="173" customWidth="1"/>
    <col min="14862" max="14862" width="8.5625" style="173"/>
    <col min="14863" max="14863" width="12.8125" style="173" customWidth="1"/>
    <col min="14864" max="15100" width="8.5625" style="173"/>
    <col min="15101" max="15101" width="7.0625" style="173" customWidth="1"/>
    <col min="15102" max="15102" width="11.0625" style="173" customWidth="1"/>
    <col min="15103" max="15103" width="22.5" style="173" customWidth="1"/>
    <col min="15104" max="15104" width="25.25" style="173" customWidth="1"/>
    <col min="15105" max="15105" width="14.75" style="173" customWidth="1"/>
    <col min="15106" max="15107" width="11.8125" style="173" customWidth="1"/>
    <col min="15108" max="15108" width="0" style="173" hidden="1" customWidth="1"/>
    <col min="15109" max="15109" width="11.3125" style="173" customWidth="1"/>
    <col min="15110" max="15110" width="8.5" style="173" customWidth="1"/>
    <col min="15111" max="15111" width="10.3125" style="173" customWidth="1"/>
    <col min="15112" max="15112" width="8.3125" style="173" customWidth="1"/>
    <col min="15113" max="15113" width="10.25" style="173" customWidth="1"/>
    <col min="15114" max="15114" width="7.25" style="173" customWidth="1"/>
    <col min="15115" max="15115" width="11.8125" style="173" customWidth="1"/>
    <col min="15116" max="15116" width="7.25" style="173" customWidth="1"/>
    <col min="15117" max="15117" width="27.5" style="173" customWidth="1"/>
    <col min="15118" max="15118" width="8.5625" style="173"/>
    <col min="15119" max="15119" width="12.8125" style="173" customWidth="1"/>
    <col min="15120" max="15356" width="8.5625" style="173"/>
    <col min="15357" max="15357" width="7.0625" style="173" customWidth="1"/>
    <col min="15358" max="15358" width="11.0625" style="173" customWidth="1"/>
    <col min="15359" max="15359" width="22.5" style="173" customWidth="1"/>
    <col min="15360" max="15360" width="25.25" style="173" customWidth="1"/>
    <col min="15361" max="15361" width="14.75" style="173" customWidth="1"/>
    <col min="15362" max="15363" width="11.8125" style="173" customWidth="1"/>
    <col min="15364" max="15364" width="0" style="173" hidden="1" customWidth="1"/>
    <col min="15365" max="15365" width="11.3125" style="173" customWidth="1"/>
    <col min="15366" max="15366" width="8.5" style="173" customWidth="1"/>
    <col min="15367" max="15367" width="10.3125" style="173" customWidth="1"/>
    <col min="15368" max="15368" width="8.3125" style="173" customWidth="1"/>
    <col min="15369" max="15369" width="10.25" style="173" customWidth="1"/>
    <col min="15370" max="15370" width="7.25" style="173" customWidth="1"/>
    <col min="15371" max="15371" width="11.8125" style="173" customWidth="1"/>
    <col min="15372" max="15372" width="7.25" style="173" customWidth="1"/>
    <col min="15373" max="15373" width="27.5" style="173" customWidth="1"/>
    <col min="15374" max="15374" width="8.5625" style="173"/>
    <col min="15375" max="15375" width="12.8125" style="173" customWidth="1"/>
    <col min="15376" max="15612" width="8.5625" style="173"/>
    <col min="15613" max="15613" width="7.0625" style="173" customWidth="1"/>
    <col min="15614" max="15614" width="11.0625" style="173" customWidth="1"/>
    <col min="15615" max="15615" width="22.5" style="173" customWidth="1"/>
    <col min="15616" max="15616" width="25.25" style="173" customWidth="1"/>
    <col min="15617" max="15617" width="14.75" style="173" customWidth="1"/>
    <col min="15618" max="15619" width="11.8125" style="173" customWidth="1"/>
    <col min="15620" max="15620" width="0" style="173" hidden="1" customWidth="1"/>
    <col min="15621" max="15621" width="11.3125" style="173" customWidth="1"/>
    <col min="15622" max="15622" width="8.5" style="173" customWidth="1"/>
    <col min="15623" max="15623" width="10.3125" style="173" customWidth="1"/>
    <col min="15624" max="15624" width="8.3125" style="173" customWidth="1"/>
    <col min="15625" max="15625" width="10.25" style="173" customWidth="1"/>
    <col min="15626" max="15626" width="7.25" style="173" customWidth="1"/>
    <col min="15627" max="15627" width="11.8125" style="173" customWidth="1"/>
    <col min="15628" max="15628" width="7.25" style="173" customWidth="1"/>
    <col min="15629" max="15629" width="27.5" style="173" customWidth="1"/>
    <col min="15630" max="15630" width="8.5625" style="173"/>
    <col min="15631" max="15631" width="12.8125" style="173" customWidth="1"/>
    <col min="15632" max="15868" width="8.5625" style="173"/>
    <col min="15869" max="15869" width="7.0625" style="173" customWidth="1"/>
    <col min="15870" max="15870" width="11.0625" style="173" customWidth="1"/>
    <col min="15871" max="15871" width="22.5" style="173" customWidth="1"/>
    <col min="15872" max="15872" width="25.25" style="173" customWidth="1"/>
    <col min="15873" max="15873" width="14.75" style="173" customWidth="1"/>
    <col min="15874" max="15875" width="11.8125" style="173" customWidth="1"/>
    <col min="15876" max="15876" width="0" style="173" hidden="1" customWidth="1"/>
    <col min="15877" max="15877" width="11.3125" style="173" customWidth="1"/>
    <col min="15878" max="15878" width="8.5" style="173" customWidth="1"/>
    <col min="15879" max="15879" width="10.3125" style="173" customWidth="1"/>
    <col min="15880" max="15880" width="8.3125" style="173" customWidth="1"/>
    <col min="15881" max="15881" width="10.25" style="173" customWidth="1"/>
    <col min="15882" max="15882" width="7.25" style="173" customWidth="1"/>
    <col min="15883" max="15883" width="11.8125" style="173" customWidth="1"/>
    <col min="15884" max="15884" width="7.25" style="173" customWidth="1"/>
    <col min="15885" max="15885" width="27.5" style="173" customWidth="1"/>
    <col min="15886" max="15886" width="8.5625" style="173"/>
    <col min="15887" max="15887" width="12.8125" style="173" customWidth="1"/>
    <col min="15888" max="16124" width="8.5625" style="173"/>
    <col min="16125" max="16125" width="7.0625" style="173" customWidth="1"/>
    <col min="16126" max="16126" width="11.0625" style="173" customWidth="1"/>
    <col min="16127" max="16127" width="22.5" style="173" customWidth="1"/>
    <col min="16128" max="16128" width="25.25" style="173" customWidth="1"/>
    <col min="16129" max="16129" width="14.75" style="173" customWidth="1"/>
    <col min="16130" max="16131" width="11.8125" style="173" customWidth="1"/>
    <col min="16132" max="16132" width="0" style="173" hidden="1" customWidth="1"/>
    <col min="16133" max="16133" width="11.3125" style="173" customWidth="1"/>
    <col min="16134" max="16134" width="8.5" style="173" customWidth="1"/>
    <col min="16135" max="16135" width="10.3125" style="173" customWidth="1"/>
    <col min="16136" max="16136" width="8.3125" style="173" customWidth="1"/>
    <col min="16137" max="16137" width="10.25" style="173" customWidth="1"/>
    <col min="16138" max="16138" width="7.25" style="173" customWidth="1"/>
    <col min="16139" max="16139" width="11.8125" style="173" customWidth="1"/>
    <col min="16140" max="16140" width="7.25" style="173" customWidth="1"/>
    <col min="16141" max="16141" width="27.5" style="173" customWidth="1"/>
    <col min="16142" max="16142" width="8.5625" style="173"/>
    <col min="16143" max="16143" width="12.8125" style="173" customWidth="1"/>
    <col min="16144" max="16384" width="8.5625" style="173"/>
  </cols>
  <sheetData>
    <row r="1" spans="1:26" ht="9" customHeight="1" x14ac:dyDescent="0.8">
      <c r="A1" s="784" t="s">
        <v>231</v>
      </c>
      <c r="B1" s="784"/>
      <c r="C1" s="784"/>
      <c r="D1" s="784"/>
      <c r="E1" s="785" t="s">
        <v>232</v>
      </c>
      <c r="F1" s="785"/>
      <c r="G1" s="785"/>
      <c r="H1" s="785"/>
      <c r="I1" s="785"/>
      <c r="J1" s="786" t="s">
        <v>233</v>
      </c>
      <c r="K1" s="786"/>
    </row>
    <row r="2" spans="1:26" ht="21.7" customHeight="1" x14ac:dyDescent="0.8">
      <c r="A2" s="784"/>
      <c r="B2" s="784"/>
      <c r="C2" s="784"/>
      <c r="D2" s="784"/>
      <c r="E2" s="785"/>
      <c r="F2" s="785"/>
      <c r="G2" s="785"/>
      <c r="H2" s="785"/>
      <c r="I2" s="785"/>
      <c r="J2" s="786"/>
      <c r="K2" s="786"/>
      <c r="L2" s="177" t="s">
        <v>234</v>
      </c>
      <c r="M2" s="178" t="s">
        <v>235</v>
      </c>
      <c r="N2" s="178"/>
      <c r="O2" s="178" t="s">
        <v>236</v>
      </c>
      <c r="P2" s="179"/>
      <c r="Q2" s="179"/>
      <c r="R2" s="180"/>
      <c r="S2" s="181" t="s">
        <v>237</v>
      </c>
      <c r="T2" s="182"/>
    </row>
    <row r="3" spans="1:26" ht="17.55" hidden="1" customHeight="1" x14ac:dyDescent="0.8">
      <c r="A3" s="787" t="s">
        <v>238</v>
      </c>
      <c r="B3" s="788"/>
      <c r="C3" s="788"/>
      <c r="D3" s="788"/>
      <c r="E3" s="788"/>
      <c r="F3" s="184"/>
      <c r="G3" s="181"/>
      <c r="H3" s="181"/>
      <c r="I3" s="181"/>
      <c r="J3" s="181"/>
      <c r="K3" s="181"/>
      <c r="L3" s="181"/>
      <c r="M3" s="181"/>
      <c r="N3" s="181"/>
      <c r="O3" s="181"/>
      <c r="P3" s="181"/>
      <c r="Q3" s="181"/>
      <c r="R3" s="185"/>
      <c r="S3" s="181"/>
      <c r="T3" s="182"/>
    </row>
    <row r="4" spans="1:26" ht="17.55" hidden="1" customHeight="1" x14ac:dyDescent="0.8">
      <c r="A4" s="787" t="s">
        <v>239</v>
      </c>
      <c r="B4" s="788"/>
      <c r="C4" s="788"/>
      <c r="D4" s="788"/>
      <c r="E4" s="788"/>
      <c r="F4" s="184"/>
      <c r="G4" s="181"/>
      <c r="H4" s="181"/>
      <c r="I4" s="181"/>
      <c r="J4" s="181"/>
      <c r="K4" s="181"/>
      <c r="L4" s="181"/>
      <c r="M4" s="181"/>
      <c r="N4" s="181"/>
      <c r="O4" s="181"/>
      <c r="P4" s="181"/>
      <c r="Q4" s="181"/>
      <c r="R4" s="185"/>
      <c r="S4" s="181"/>
      <c r="T4" s="182"/>
    </row>
    <row r="5" spans="1:26" ht="7.05" customHeight="1" x14ac:dyDescent="0.8">
      <c r="A5" s="183"/>
      <c r="B5" s="183"/>
      <c r="C5" s="183"/>
      <c r="D5" s="186"/>
      <c r="E5" s="186"/>
      <c r="F5" s="187"/>
      <c r="G5" s="183"/>
      <c r="H5" s="183"/>
      <c r="I5" s="183"/>
      <c r="J5" s="183"/>
      <c r="K5" s="183"/>
      <c r="L5" s="183"/>
      <c r="M5" s="183"/>
      <c r="N5" s="183"/>
      <c r="O5" s="183"/>
      <c r="P5" s="183"/>
      <c r="Q5" s="183"/>
      <c r="R5" s="185"/>
      <c r="T5" s="182"/>
    </row>
    <row r="6" spans="1:26" hidden="1" x14ac:dyDescent="0.8">
      <c r="B6" s="188"/>
      <c r="C6" s="189"/>
      <c r="D6" s="190"/>
      <c r="E6" s="190"/>
      <c r="F6" s="190"/>
      <c r="G6" s="191"/>
      <c r="H6" s="192"/>
      <c r="I6" s="191"/>
      <c r="J6" s="191"/>
      <c r="K6" s="191"/>
      <c r="L6" s="191"/>
      <c r="M6" s="191"/>
      <c r="N6" s="191"/>
      <c r="O6" s="191"/>
      <c r="P6" s="191"/>
      <c r="Q6" s="191"/>
      <c r="R6" s="193"/>
      <c r="T6" s="182"/>
    </row>
    <row r="7" spans="1:26" s="194" customFormat="1" ht="18.7" customHeight="1" x14ac:dyDescent="0.8">
      <c r="A7" s="331" t="s">
        <v>240</v>
      </c>
      <c r="B7" s="766" t="s">
        <v>241</v>
      </c>
      <c r="C7" s="765" t="s">
        <v>3</v>
      </c>
      <c r="D7" s="765" t="s">
        <v>4</v>
      </c>
      <c r="E7" s="765"/>
      <c r="F7" s="767" t="s">
        <v>242</v>
      </c>
      <c r="G7" s="773" t="s">
        <v>243</v>
      </c>
      <c r="H7" s="774"/>
      <c r="I7" s="775"/>
      <c r="J7" s="773" t="s">
        <v>244</v>
      </c>
      <c r="K7" s="774"/>
      <c r="L7" s="774"/>
      <c r="M7" s="775"/>
      <c r="N7" s="773" t="s">
        <v>245</v>
      </c>
      <c r="O7" s="774"/>
      <c r="P7" s="774"/>
      <c r="Q7" s="775"/>
      <c r="R7" s="767" t="s">
        <v>246</v>
      </c>
      <c r="S7" s="778" t="s">
        <v>229</v>
      </c>
      <c r="T7" s="182"/>
    </row>
    <row r="8" spans="1:26" s="194" customFormat="1" ht="17.55" customHeight="1" x14ac:dyDescent="0.8">
      <c r="A8" s="332" t="s">
        <v>247</v>
      </c>
      <c r="B8" s="766"/>
      <c r="C8" s="765"/>
      <c r="D8" s="765"/>
      <c r="E8" s="765"/>
      <c r="F8" s="768"/>
      <c r="G8" s="776" t="s">
        <v>248</v>
      </c>
      <c r="H8" s="768" t="s">
        <v>249</v>
      </c>
      <c r="I8" s="781" t="s">
        <v>250</v>
      </c>
      <c r="J8" s="783" t="s">
        <v>251</v>
      </c>
      <c r="K8" s="783" t="s">
        <v>252</v>
      </c>
      <c r="L8" s="765" t="s">
        <v>253</v>
      </c>
      <c r="M8" s="765" t="s">
        <v>252</v>
      </c>
      <c r="N8" s="772" t="s">
        <v>254</v>
      </c>
      <c r="O8" s="772" t="s">
        <v>255</v>
      </c>
      <c r="P8" s="765" t="s">
        <v>253</v>
      </c>
      <c r="Q8" s="765" t="s">
        <v>255</v>
      </c>
      <c r="R8" s="768"/>
      <c r="S8" s="779"/>
      <c r="T8" s="176"/>
    </row>
    <row r="9" spans="1:26" s="194" customFormat="1" ht="22.05" customHeight="1" x14ac:dyDescent="0.8">
      <c r="A9" s="333" t="s">
        <v>256</v>
      </c>
      <c r="B9" s="766"/>
      <c r="C9" s="765"/>
      <c r="D9" s="765"/>
      <c r="E9" s="765"/>
      <c r="F9" s="769"/>
      <c r="G9" s="777"/>
      <c r="H9" s="769"/>
      <c r="I9" s="782"/>
      <c r="J9" s="783"/>
      <c r="K9" s="783"/>
      <c r="L9" s="765"/>
      <c r="M9" s="765"/>
      <c r="N9" s="772"/>
      <c r="O9" s="772"/>
      <c r="P9" s="765"/>
      <c r="Q9" s="765"/>
      <c r="R9" s="769"/>
      <c r="S9" s="780"/>
      <c r="T9" s="176"/>
    </row>
    <row r="10" spans="1:26" ht="20.55" customHeight="1" x14ac:dyDescent="0.8">
      <c r="A10" s="770" t="s">
        <v>257</v>
      </c>
      <c r="B10" s="744"/>
      <c r="C10" s="744"/>
      <c r="D10" s="771"/>
      <c r="E10" s="771"/>
      <c r="F10" s="195"/>
      <c r="G10" s="196">
        <f>SUM(G14:G20)</f>
        <v>6840727.6599999992</v>
      </c>
      <c r="H10" s="196">
        <f>SUM(H11,H12,H13,H14,H15,H16,H17,H18,H19,H20,H24,H26,H27,H28,H29,H30,H31,H32,H33,H34)</f>
        <v>79578400</v>
      </c>
      <c r="I10" s="196">
        <f t="shared" ref="I10:K10" si="0">SUM(I11,I12,I13,I14,I15,I16,I17,I18,I19,I20,I24,I26,I27,I28,I29,I30,I31,I32,I33,I34)</f>
        <v>86581798.13000001</v>
      </c>
      <c r="J10" s="196">
        <f t="shared" si="0"/>
        <v>7003193.3299999991</v>
      </c>
      <c r="K10" s="196">
        <f t="shared" si="0"/>
        <v>8.9270182240626053</v>
      </c>
      <c r="L10" s="196">
        <f>SUM(L11,L12,L13,L14,L15,L16,L17,L18,L19,L20,L24,L26,L27,L28,L29,L30,L31,L32,L33,L34)</f>
        <v>36188271.963333338</v>
      </c>
      <c r="M10" s="198">
        <f t="shared" ref="M10:M31" si="1">L10/H10</f>
        <v>0.45474993168162892</v>
      </c>
      <c r="N10" s="199">
        <f>SUM(N14:N20)</f>
        <v>0</v>
      </c>
      <c r="O10" s="197">
        <f t="shared" ref="O10:O26" si="2">N10/G10</f>
        <v>0</v>
      </c>
      <c r="P10" s="196">
        <f>SUM(P11,P12,P13,P14,P15,P16,P17,P18,P19,P20,P24,P26,P27,P28,P29,P30,P31,P32,P33,P34)</f>
        <v>43390128.036666662</v>
      </c>
      <c r="Q10" s="197">
        <f>P10/H10</f>
        <v>0.54525006831837108</v>
      </c>
      <c r="R10" s="200"/>
      <c r="S10" s="201"/>
    </row>
    <row r="11" spans="1:26" ht="57" customHeight="1" x14ac:dyDescent="0.8">
      <c r="A11" s="202">
        <v>30102</v>
      </c>
      <c r="B11" s="203" t="s">
        <v>258</v>
      </c>
      <c r="C11" s="204" t="s">
        <v>259</v>
      </c>
      <c r="D11" s="741" t="s">
        <v>260</v>
      </c>
      <c r="E11" s="741"/>
      <c r="F11" s="205" t="s">
        <v>20</v>
      </c>
      <c r="G11" s="206"/>
      <c r="H11" s="207">
        <v>310000</v>
      </c>
      <c r="I11" s="208">
        <f>SUM(G11:H11)</f>
        <v>310000</v>
      </c>
      <c r="J11" s="308"/>
      <c r="K11" s="209"/>
      <c r="L11" s="309">
        <f>[27]Dataภาพรวม!G10+[27]Dataภาพรวม!L10+[27]Dataภาพรวม!M10+[27]Dataภาพรวม!N10-J11</f>
        <v>263759.21000000002</v>
      </c>
      <c r="M11" s="210">
        <f>L11/H11</f>
        <v>0.85083616129032269</v>
      </c>
      <c r="N11" s="206"/>
      <c r="O11" s="209"/>
      <c r="P11" s="211">
        <f>H11-L11</f>
        <v>46240.789999999979</v>
      </c>
      <c r="Q11" s="212">
        <f>P11/H11</f>
        <v>0.14916383870967737</v>
      </c>
      <c r="R11" s="310" t="s">
        <v>261</v>
      </c>
      <c r="S11" s="213" t="s">
        <v>262</v>
      </c>
      <c r="T11" s="214"/>
      <c r="U11" s="173" t="s">
        <v>263</v>
      </c>
      <c r="V11" s="173" t="s">
        <v>264</v>
      </c>
      <c r="W11" s="173" t="s">
        <v>265</v>
      </c>
      <c r="Z11" s="311" t="s">
        <v>266</v>
      </c>
    </row>
    <row r="12" spans="1:26" ht="57.7" customHeight="1" x14ac:dyDescent="0.8">
      <c r="A12" s="202">
        <v>30102</v>
      </c>
      <c r="B12" s="203" t="s">
        <v>267</v>
      </c>
      <c r="C12" s="204" t="s">
        <v>268</v>
      </c>
      <c r="D12" s="741" t="s">
        <v>269</v>
      </c>
      <c r="E12" s="741"/>
      <c r="F12" s="205" t="s">
        <v>20</v>
      </c>
      <c r="G12" s="206"/>
      <c r="H12" s="207">
        <v>5640000</v>
      </c>
      <c r="I12" s="208">
        <f>SUM(G12:H12)</f>
        <v>5640000</v>
      </c>
      <c r="J12" s="215"/>
      <c r="K12" s="209"/>
      <c r="L12" s="309">
        <f>[27]Dataภาพรวม!G11+[27]Dataภาพรวม!L11+[27]Dataภาพรวม!M11+[27]Dataภาพรวม!N11-J12</f>
        <v>3488800</v>
      </c>
      <c r="M12" s="210">
        <f>L12/H12</f>
        <v>0.61858156028368794</v>
      </c>
      <c r="N12" s="206"/>
      <c r="O12" s="209"/>
      <c r="P12" s="211">
        <f>H12-L12</f>
        <v>2151200</v>
      </c>
      <c r="Q12" s="212">
        <f>P12/H12</f>
        <v>0.38141843971631206</v>
      </c>
      <c r="R12" s="310" t="s">
        <v>270</v>
      </c>
      <c r="S12" s="213" t="s">
        <v>271</v>
      </c>
      <c r="T12" s="214"/>
      <c r="U12" s="216"/>
      <c r="V12" s="216">
        <f>[27]Dataภาพรวม!J11*5</f>
        <v>2345500</v>
      </c>
      <c r="W12" s="217">
        <f>P12-V12</f>
        <v>-194300</v>
      </c>
      <c r="X12" s="289" t="s">
        <v>272</v>
      </c>
      <c r="Y12" s="312" t="s">
        <v>273</v>
      </c>
      <c r="Z12" s="311" t="s">
        <v>274</v>
      </c>
    </row>
    <row r="13" spans="1:26" ht="55.5" customHeight="1" x14ac:dyDescent="0.8">
      <c r="A13" s="202" t="s">
        <v>275</v>
      </c>
      <c r="B13" s="203" t="s">
        <v>276</v>
      </c>
      <c r="C13" s="204" t="s">
        <v>277</v>
      </c>
      <c r="D13" s="741" t="s">
        <v>278</v>
      </c>
      <c r="E13" s="741"/>
      <c r="F13" s="205" t="s">
        <v>20</v>
      </c>
      <c r="G13" s="206"/>
      <c r="H13" s="207">
        <f>[27]Dataภาพรวม!F13</f>
        <v>6650000</v>
      </c>
      <c r="I13" s="208">
        <f>SUM(G13:H13)</f>
        <v>6650000</v>
      </c>
      <c r="J13" s="215"/>
      <c r="K13" s="209"/>
      <c r="L13" s="309">
        <f>[27]Dataภาพรวม!G13+[27]Dataภาพรวม!L13+[27]Dataภาพรวม!M13+[27]Dataภาพรวม!N13-J13</f>
        <v>2100323.85</v>
      </c>
      <c r="M13" s="210">
        <f>L13/H13</f>
        <v>0.31583817293233085</v>
      </c>
      <c r="N13" s="206"/>
      <c r="O13" s="209"/>
      <c r="P13" s="211">
        <f>H13-L13</f>
        <v>4549676.1500000004</v>
      </c>
      <c r="Q13" s="212">
        <f>P13/H13</f>
        <v>0.68416182706766926</v>
      </c>
      <c r="R13" s="218" t="s">
        <v>34</v>
      </c>
      <c r="S13" s="219" t="s">
        <v>279</v>
      </c>
      <c r="T13" s="214"/>
      <c r="U13" s="216"/>
      <c r="V13" s="216"/>
      <c r="W13" s="217"/>
    </row>
    <row r="14" spans="1:26" ht="56.2" customHeight="1" x14ac:dyDescent="0.8">
      <c r="A14" s="202" t="s">
        <v>280</v>
      </c>
      <c r="B14" s="203">
        <v>5020304000</v>
      </c>
      <c r="C14" s="204" t="s">
        <v>281</v>
      </c>
      <c r="D14" s="741" t="s">
        <v>282</v>
      </c>
      <c r="E14" s="741"/>
      <c r="F14" s="205" t="s">
        <v>283</v>
      </c>
      <c r="G14" s="215">
        <v>58935.6</v>
      </c>
      <c r="H14" s="211">
        <v>457900</v>
      </c>
      <c r="I14" s="208">
        <f t="shared" ref="I14:I34" si="3">SUM(G14:H14)</f>
        <v>516835.6</v>
      </c>
      <c r="J14" s="215">
        <v>58935.6</v>
      </c>
      <c r="K14" s="209">
        <f t="shared" ref="K14:K26" si="4">J14/G14</f>
        <v>1</v>
      </c>
      <c r="L14" s="309">
        <f>[27]Dataภาพรวม!G15+[27]Dataภาพรวม!L15+[27]Dataภาพรวม!M15+[27]Dataภาพรวม!N15-J14</f>
        <v>443910.80000000005</v>
      </c>
      <c r="M14" s="210">
        <f t="shared" si="1"/>
        <v>0.96944922472155504</v>
      </c>
      <c r="N14" s="313">
        <f>G14-J14</f>
        <v>0</v>
      </c>
      <c r="O14" s="209">
        <f t="shared" si="2"/>
        <v>0</v>
      </c>
      <c r="P14" s="211">
        <f>I14-J14-L14</f>
        <v>13989.199999999953</v>
      </c>
      <c r="Q14" s="212">
        <f>P14/H14</f>
        <v>3.0550775278444974E-2</v>
      </c>
      <c r="R14" s="218" t="s">
        <v>44</v>
      </c>
      <c r="S14" s="219" t="s">
        <v>284</v>
      </c>
      <c r="T14" s="173"/>
      <c r="U14" s="220"/>
      <c r="V14" s="221">
        <f>P14-[27]แผนจัดหา!Y22</f>
        <v>-25810.800000000047</v>
      </c>
    </row>
    <row r="15" spans="1:26" ht="36" x14ac:dyDescent="0.8">
      <c r="A15" s="202" t="s">
        <v>285</v>
      </c>
      <c r="B15" s="203" t="s">
        <v>286</v>
      </c>
      <c r="C15" s="204" t="s">
        <v>287</v>
      </c>
      <c r="D15" s="741" t="s">
        <v>288</v>
      </c>
      <c r="E15" s="741"/>
      <c r="F15" s="205" t="s">
        <v>20</v>
      </c>
      <c r="G15" s="215">
        <v>585</v>
      </c>
      <c r="H15" s="211">
        <v>165000</v>
      </c>
      <c r="I15" s="208">
        <f t="shared" si="3"/>
        <v>165585</v>
      </c>
      <c r="J15" s="215">
        <v>585</v>
      </c>
      <c r="K15" s="209">
        <f t="shared" si="4"/>
        <v>1</v>
      </c>
      <c r="L15" s="309">
        <f>[27]Dataภาพรวม!G17+[27]Dataภาพรวม!L17+[27]Dataภาพรวม!M17+[27]Dataภาพรวม!N17-J15</f>
        <v>26800.35</v>
      </c>
      <c r="M15" s="210">
        <f t="shared" si="1"/>
        <v>0.16242636363636362</v>
      </c>
      <c r="N15" s="313">
        <f>G15-J15</f>
        <v>0</v>
      </c>
      <c r="O15" s="209">
        <f t="shared" si="2"/>
        <v>0</v>
      </c>
      <c r="P15" s="211">
        <f t="shared" ref="P15:P31" si="5">H15-L15</f>
        <v>138199.65</v>
      </c>
      <c r="Q15" s="212">
        <f t="shared" ref="Q15:Q30" si="6">P15/H15</f>
        <v>0.83757363636363635</v>
      </c>
      <c r="R15" s="218" t="s">
        <v>48</v>
      </c>
      <c r="S15" s="219" t="s">
        <v>289</v>
      </c>
      <c r="T15" s="173"/>
    </row>
    <row r="16" spans="1:26" ht="24.7" customHeight="1" x14ac:dyDescent="0.8">
      <c r="A16" s="202" t="s">
        <v>290</v>
      </c>
      <c r="B16" s="203" t="s">
        <v>291</v>
      </c>
      <c r="C16" s="204" t="s">
        <v>292</v>
      </c>
      <c r="D16" s="741" t="s">
        <v>293</v>
      </c>
      <c r="E16" s="741"/>
      <c r="F16" s="205" t="s">
        <v>20</v>
      </c>
      <c r="G16" s="215">
        <v>17482.54</v>
      </c>
      <c r="H16" s="211">
        <v>1522500</v>
      </c>
      <c r="I16" s="208">
        <f>SUM(G16:H16)</f>
        <v>1539982.54</v>
      </c>
      <c r="J16" s="215">
        <f>G16</f>
        <v>17482.54</v>
      </c>
      <c r="K16" s="209">
        <f>J16/G16</f>
        <v>1</v>
      </c>
      <c r="L16" s="309">
        <f>[27]Dataภาพรวม!G19+[27]Dataภาพรวม!L19+[27]Dataภาพรวม!M19+[27]Dataภาพรวม!N19-J16</f>
        <v>257470.88999999998</v>
      </c>
      <c r="M16" s="210">
        <f>L16/H16</f>
        <v>0.16911060098522165</v>
      </c>
      <c r="N16" s="313">
        <f>G16-J16</f>
        <v>0</v>
      </c>
      <c r="O16" s="209">
        <f>N16/G16</f>
        <v>0</v>
      </c>
      <c r="P16" s="211">
        <f>H16-L16</f>
        <v>1265029.1100000001</v>
      </c>
      <c r="Q16" s="212">
        <f>P16/H16</f>
        <v>0.83088939901477843</v>
      </c>
      <c r="R16" s="218" t="s">
        <v>294</v>
      </c>
      <c r="S16" s="219" t="s">
        <v>295</v>
      </c>
      <c r="T16" s="173"/>
    </row>
    <row r="17" spans="1:23" ht="108" x14ac:dyDescent="0.8">
      <c r="A17" s="202">
        <v>30202</v>
      </c>
      <c r="B17" s="203" t="s">
        <v>296</v>
      </c>
      <c r="C17" s="314" t="s">
        <v>297</v>
      </c>
      <c r="D17" s="741" t="s">
        <v>298</v>
      </c>
      <c r="E17" s="741"/>
      <c r="F17" s="205" t="s">
        <v>20</v>
      </c>
      <c r="G17" s="215">
        <v>6758909.5199999996</v>
      </c>
      <c r="H17" s="211">
        <v>55490000</v>
      </c>
      <c r="I17" s="208">
        <f>SUM(G17:H17)</f>
        <v>62248909.519999996</v>
      </c>
      <c r="J17" s="215">
        <f>G17</f>
        <v>6758909.5199999996</v>
      </c>
      <c r="K17" s="209">
        <f>J17/G17</f>
        <v>1</v>
      </c>
      <c r="L17" s="315">
        <f>'[7]กลุ่ม 1'!$A$28</f>
        <v>25574826.443333335</v>
      </c>
      <c r="M17" s="212">
        <f>L17/H17</f>
        <v>0.46089072703790473</v>
      </c>
      <c r="N17" s="313">
        <f>G17-J17</f>
        <v>0</v>
      </c>
      <c r="O17" s="209">
        <f>N17/G17</f>
        <v>0</v>
      </c>
      <c r="P17" s="222">
        <f>H17-L17</f>
        <v>29915173.556666665</v>
      </c>
      <c r="Q17" s="212">
        <f>P17/H17</f>
        <v>0.53910927296209521</v>
      </c>
      <c r="R17" s="223" t="s">
        <v>299</v>
      </c>
      <c r="S17" s="219" t="s">
        <v>300</v>
      </c>
      <c r="T17" s="173"/>
    </row>
    <row r="18" spans="1:23" ht="40.049999999999997" customHeight="1" x14ac:dyDescent="0.8">
      <c r="A18" s="202" t="s">
        <v>301</v>
      </c>
      <c r="B18" s="203">
        <v>5031120000</v>
      </c>
      <c r="C18" s="204" t="s">
        <v>302</v>
      </c>
      <c r="D18" s="741" t="s">
        <v>303</v>
      </c>
      <c r="E18" s="741"/>
      <c r="F18" s="205" t="s">
        <v>304</v>
      </c>
      <c r="G18" s="215">
        <v>4815</v>
      </c>
      <c r="H18" s="211">
        <v>31000</v>
      </c>
      <c r="I18" s="208">
        <f t="shared" si="3"/>
        <v>35815</v>
      </c>
      <c r="J18" s="215">
        <v>4815</v>
      </c>
      <c r="K18" s="209">
        <f t="shared" si="4"/>
        <v>1</v>
      </c>
      <c r="L18" s="309">
        <f>[27]Dataภาพรวม!G23+[27]Dataภาพรวม!L23+[27]Dataภาพรวม!M23+[27]Dataภาพรวม!N23-J18</f>
        <v>24931</v>
      </c>
      <c r="M18" s="210">
        <f t="shared" si="1"/>
        <v>0.8042258064516129</v>
      </c>
      <c r="N18" s="313">
        <f>G18-J18</f>
        <v>0</v>
      </c>
      <c r="O18" s="209">
        <f t="shared" si="2"/>
        <v>0</v>
      </c>
      <c r="P18" s="211">
        <f t="shared" si="5"/>
        <v>6069</v>
      </c>
      <c r="Q18" s="212">
        <f t="shared" si="6"/>
        <v>0.1957741935483871</v>
      </c>
      <c r="R18" s="218" t="s">
        <v>305</v>
      </c>
      <c r="S18" s="219" t="s">
        <v>306</v>
      </c>
      <c r="T18" s="214"/>
      <c r="U18" s="173" t="s">
        <v>263</v>
      </c>
      <c r="V18" s="173" t="s">
        <v>307</v>
      </c>
    </row>
    <row r="19" spans="1:23" ht="37.5" customHeight="1" x14ac:dyDescent="0.8">
      <c r="A19" s="202" t="s">
        <v>301</v>
      </c>
      <c r="B19" s="203" t="s">
        <v>308</v>
      </c>
      <c r="C19" s="224" t="s">
        <v>309</v>
      </c>
      <c r="D19" s="741" t="s">
        <v>310</v>
      </c>
      <c r="E19" s="741"/>
      <c r="F19" s="205" t="s">
        <v>20</v>
      </c>
      <c r="G19" s="206"/>
      <c r="H19" s="211">
        <v>4341900</v>
      </c>
      <c r="I19" s="208">
        <f>SUM(G19:H19)</f>
        <v>4341900</v>
      </c>
      <c r="J19" s="215"/>
      <c r="K19" s="209"/>
      <c r="L19" s="309">
        <f>[27]Dataภาพรวม!G24+[27]Dataภาพรวม!L24+[27]Dataภาพรวม!M24+[27]Dataภาพรวม!N24-J19</f>
        <v>2145450</v>
      </c>
      <c r="M19" s="210">
        <f t="shared" si="1"/>
        <v>0.49412699509431357</v>
      </c>
      <c r="N19" s="206"/>
      <c r="O19" s="209"/>
      <c r="P19" s="211">
        <f t="shared" si="5"/>
        <v>2196450</v>
      </c>
      <c r="Q19" s="212">
        <f>P19/H19</f>
        <v>0.50587300490568643</v>
      </c>
      <c r="R19" s="218" t="s">
        <v>150</v>
      </c>
      <c r="S19" s="219" t="s">
        <v>311</v>
      </c>
      <c r="T19" s="214"/>
      <c r="U19" s="216">
        <f>L19/5</f>
        <v>429090</v>
      </c>
      <c r="V19" s="216">
        <f>[27]Dataภาพรวม!J24</f>
        <v>339000</v>
      </c>
      <c r="W19" s="217"/>
    </row>
    <row r="20" spans="1:23" ht="21" customHeight="1" x14ac:dyDescent="0.8">
      <c r="A20" s="735" t="s">
        <v>312</v>
      </c>
      <c r="B20" s="758">
        <v>5031214000</v>
      </c>
      <c r="C20" s="755" t="s">
        <v>313</v>
      </c>
      <c r="D20" s="757" t="s">
        <v>314</v>
      </c>
      <c r="E20" s="741"/>
      <c r="F20" s="205"/>
      <c r="G20" s="206"/>
      <c r="H20" s="211">
        <f>SUM(H21:H23)</f>
        <v>2414500</v>
      </c>
      <c r="I20" s="208">
        <f>SUM(G20:H20)</f>
        <v>2414500</v>
      </c>
      <c r="J20" s="308"/>
      <c r="K20" s="209"/>
      <c r="L20" s="309">
        <f>SUM(L21:L23)</f>
        <v>1205595.75</v>
      </c>
      <c r="M20" s="210">
        <f t="shared" si="1"/>
        <v>0.49931486850279561</v>
      </c>
      <c r="N20" s="206"/>
      <c r="O20" s="209"/>
      <c r="P20" s="222">
        <f t="shared" si="5"/>
        <v>1208904.25</v>
      </c>
      <c r="Q20" s="212">
        <f>P20/H20</f>
        <v>0.50068513149720439</v>
      </c>
      <c r="R20" s="760" t="s">
        <v>134</v>
      </c>
      <c r="S20" s="225" t="s">
        <v>315</v>
      </c>
      <c r="T20" s="214"/>
      <c r="U20" s="220"/>
    </row>
    <row r="21" spans="1:23" ht="35.549999999999997" customHeight="1" x14ac:dyDescent="0.8">
      <c r="A21" s="735"/>
      <c r="B21" s="758"/>
      <c r="C21" s="759"/>
      <c r="D21" s="757" t="s">
        <v>316</v>
      </c>
      <c r="E21" s="741"/>
      <c r="F21" s="205" t="s">
        <v>283</v>
      </c>
      <c r="G21" s="206"/>
      <c r="H21" s="226">
        <v>2263100</v>
      </c>
      <c r="I21" s="227">
        <f>SUM(G21:H21)</f>
        <v>2263100</v>
      </c>
      <c r="J21" s="316"/>
      <c r="K21" s="209"/>
      <c r="L21" s="317">
        <v>1131525</v>
      </c>
      <c r="M21" s="228">
        <f t="shared" si="1"/>
        <v>0.49998895320577968</v>
      </c>
      <c r="N21" s="229"/>
      <c r="O21" s="230"/>
      <c r="P21" s="318">
        <f t="shared" si="5"/>
        <v>1131575</v>
      </c>
      <c r="Q21" s="228">
        <f>P21/H21</f>
        <v>0.50001104679422037</v>
      </c>
      <c r="R21" s="761"/>
      <c r="S21" s="763" t="s">
        <v>317</v>
      </c>
      <c r="T21" s="231"/>
      <c r="U21" s="173" t="s">
        <v>318</v>
      </c>
      <c r="W21" s="173" t="s">
        <v>319</v>
      </c>
    </row>
    <row r="22" spans="1:23" ht="80.25" customHeight="1" x14ac:dyDescent="0.8">
      <c r="A22" s="735"/>
      <c r="B22" s="758"/>
      <c r="C22" s="759"/>
      <c r="D22" s="757" t="s">
        <v>320</v>
      </c>
      <c r="E22" s="741"/>
      <c r="F22" s="205" t="s">
        <v>321</v>
      </c>
      <c r="G22" s="206"/>
      <c r="H22" s="226">
        <v>106500</v>
      </c>
      <c r="I22" s="227">
        <f>SUM(G22:H22)</f>
        <v>106500</v>
      </c>
      <c r="J22" s="316"/>
      <c r="K22" s="209"/>
      <c r="L22" s="317">
        <v>53205.75</v>
      </c>
      <c r="M22" s="232">
        <f t="shared" si="1"/>
        <v>0.49958450704225354</v>
      </c>
      <c r="N22" s="229"/>
      <c r="O22" s="230"/>
      <c r="P22" s="318">
        <f t="shared" si="5"/>
        <v>53294.25</v>
      </c>
      <c r="Q22" s="232">
        <f>P22/H22</f>
        <v>0.50041549295774646</v>
      </c>
      <c r="R22" s="761"/>
      <c r="S22" s="764"/>
      <c r="T22" s="231"/>
      <c r="W22" s="173" t="s">
        <v>319</v>
      </c>
    </row>
    <row r="23" spans="1:23" ht="38.200000000000003" customHeight="1" x14ac:dyDescent="0.8">
      <c r="A23" s="735"/>
      <c r="B23" s="758"/>
      <c r="C23" s="756"/>
      <c r="D23" s="757" t="s">
        <v>322</v>
      </c>
      <c r="E23" s="741"/>
      <c r="F23" s="205" t="s">
        <v>304</v>
      </c>
      <c r="G23" s="206"/>
      <c r="H23" s="226">
        <v>44900</v>
      </c>
      <c r="I23" s="227">
        <f>SUM(G23:H23)</f>
        <v>44900</v>
      </c>
      <c r="J23" s="316"/>
      <c r="K23" s="209"/>
      <c r="L23" s="317">
        <v>20865</v>
      </c>
      <c r="M23" s="232">
        <f t="shared" si="1"/>
        <v>0.46469933184855233</v>
      </c>
      <c r="N23" s="233"/>
      <c r="O23" s="230"/>
      <c r="P23" s="318">
        <f t="shared" si="5"/>
        <v>24035</v>
      </c>
      <c r="Q23" s="232">
        <f>P23/H23</f>
        <v>0.53530066815144761</v>
      </c>
      <c r="R23" s="762"/>
      <c r="S23" s="219" t="s">
        <v>323</v>
      </c>
      <c r="T23" s="231"/>
      <c r="U23" s="173">
        <v>22675.5</v>
      </c>
      <c r="V23" s="173" t="s">
        <v>324</v>
      </c>
      <c r="W23" s="173" t="s">
        <v>319</v>
      </c>
    </row>
    <row r="24" spans="1:23" ht="23.2" customHeight="1" x14ac:dyDescent="0.8">
      <c r="A24" s="745" t="s">
        <v>325</v>
      </c>
      <c r="B24" s="753" t="s">
        <v>326</v>
      </c>
      <c r="C24" s="755" t="s">
        <v>327</v>
      </c>
      <c r="D24" s="747" t="s">
        <v>328</v>
      </c>
      <c r="E24" s="748"/>
      <c r="F24" s="751" t="s">
        <v>329</v>
      </c>
      <c r="G24" s="234">
        <v>25841.81</v>
      </c>
      <c r="H24" s="235">
        <v>305300</v>
      </c>
      <c r="I24" s="236">
        <f t="shared" si="3"/>
        <v>331141.81</v>
      </c>
      <c r="J24" s="319">
        <f>5700+5681+13515.81+(25841.81-(5700+5681+13515.81))</f>
        <v>25841.81</v>
      </c>
      <c r="K24" s="237">
        <f t="shared" si="4"/>
        <v>1</v>
      </c>
      <c r="L24" s="320">
        <f>[27]Dataภาพรวม!G30+[27]Dataภาพรวม!L30+[27]Dataภาพรวม!M30+[27]Dataภาพรวม!N30-J24</f>
        <v>126239.72</v>
      </c>
      <c r="M24" s="238">
        <f t="shared" si="1"/>
        <v>0.41349400589584018</v>
      </c>
      <c r="N24" s="321">
        <f>G24-J24</f>
        <v>0</v>
      </c>
      <c r="O24" s="239">
        <f t="shared" si="2"/>
        <v>0</v>
      </c>
      <c r="P24" s="235">
        <f t="shared" si="5"/>
        <v>179060.28</v>
      </c>
      <c r="Q24" s="240">
        <f t="shared" si="6"/>
        <v>0.58650599410415982</v>
      </c>
      <c r="R24" s="241" t="s">
        <v>139</v>
      </c>
      <c r="S24" s="242" t="s">
        <v>330</v>
      </c>
      <c r="T24" s="231"/>
    </row>
    <row r="25" spans="1:23" ht="36.700000000000003" customHeight="1" x14ac:dyDescent="0.8">
      <c r="A25" s="746"/>
      <c r="B25" s="754"/>
      <c r="C25" s="756"/>
      <c r="D25" s="749"/>
      <c r="E25" s="750"/>
      <c r="F25" s="752"/>
      <c r="G25" s="243"/>
      <c r="H25" s="244"/>
      <c r="I25" s="245"/>
      <c r="J25" s="322"/>
      <c r="K25" s="246"/>
      <c r="L25" s="323"/>
      <c r="M25" s="247"/>
      <c r="N25" s="248"/>
      <c r="O25" s="249"/>
      <c r="P25" s="244"/>
      <c r="Q25" s="250"/>
      <c r="R25" s="251" t="s">
        <v>141</v>
      </c>
      <c r="S25" s="252" t="s">
        <v>331</v>
      </c>
      <c r="T25" s="231"/>
    </row>
    <row r="26" spans="1:23" ht="54" x14ac:dyDescent="0.8">
      <c r="A26" s="202" t="s">
        <v>332</v>
      </c>
      <c r="B26" s="203" t="s">
        <v>333</v>
      </c>
      <c r="C26" s="204" t="s">
        <v>334</v>
      </c>
      <c r="D26" s="741" t="s">
        <v>87</v>
      </c>
      <c r="E26" s="741"/>
      <c r="F26" s="205" t="s">
        <v>20</v>
      </c>
      <c r="G26" s="215">
        <v>131022.48</v>
      </c>
      <c r="H26" s="211">
        <v>150000</v>
      </c>
      <c r="I26" s="208">
        <f t="shared" si="3"/>
        <v>281022.48</v>
      </c>
      <c r="J26" s="206">
        <f>122780.5+8241.98</f>
        <v>131022.48</v>
      </c>
      <c r="K26" s="209">
        <f t="shared" si="4"/>
        <v>1</v>
      </c>
      <c r="L26" s="309">
        <f>[27]Dataภาพรวม!G32+[27]Dataภาพรวม!L32+[27]Dataภาพรวม!M32+[27]Dataภาพรวม!N32-J26</f>
        <v>0</v>
      </c>
      <c r="M26" s="210">
        <f t="shared" si="1"/>
        <v>0</v>
      </c>
      <c r="N26" s="324">
        <f>G26-J26</f>
        <v>0</v>
      </c>
      <c r="O26" s="209">
        <f t="shared" si="2"/>
        <v>0</v>
      </c>
      <c r="P26" s="211">
        <f t="shared" si="5"/>
        <v>150000</v>
      </c>
      <c r="Q26" s="212">
        <f t="shared" si="6"/>
        <v>1</v>
      </c>
      <c r="R26" s="218" t="s">
        <v>153</v>
      </c>
      <c r="S26" s="253" t="s">
        <v>335</v>
      </c>
      <c r="T26" s="214"/>
    </row>
    <row r="27" spans="1:23" ht="19.5" customHeight="1" x14ac:dyDescent="0.8">
      <c r="A27" s="202" t="s">
        <v>336</v>
      </c>
      <c r="B27" s="203" t="s">
        <v>337</v>
      </c>
      <c r="C27" s="204" t="s">
        <v>338</v>
      </c>
      <c r="D27" s="741" t="s">
        <v>339</v>
      </c>
      <c r="E27" s="741"/>
      <c r="F27" s="205" t="s">
        <v>20</v>
      </c>
      <c r="G27" s="206"/>
      <c r="H27" s="211">
        <v>80000</v>
      </c>
      <c r="I27" s="208">
        <f>SUM(G27:H27)</f>
        <v>80000</v>
      </c>
      <c r="J27" s="215"/>
      <c r="K27" s="209"/>
      <c r="L27" s="309">
        <f>[27]Dataภาพรวม!G34+[27]Dataภาพรวม!L34+[27]Dataภาพรวม!M34+[27]Dataภาพรวม!N34-J27</f>
        <v>24068</v>
      </c>
      <c r="M27" s="210">
        <f>L27/H27</f>
        <v>0.30085000000000001</v>
      </c>
      <c r="N27" s="206"/>
      <c r="O27" s="209"/>
      <c r="P27" s="211">
        <f>H27-L27</f>
        <v>55932</v>
      </c>
      <c r="Q27" s="212">
        <f>P27/H27</f>
        <v>0.69915000000000005</v>
      </c>
      <c r="R27" s="218" t="s">
        <v>159</v>
      </c>
      <c r="S27" s="219" t="s">
        <v>340</v>
      </c>
      <c r="T27" s="214"/>
    </row>
    <row r="28" spans="1:23" ht="100.05" customHeight="1" x14ac:dyDescent="0.8">
      <c r="A28" s="202" t="s">
        <v>341</v>
      </c>
      <c r="B28" s="203" t="s">
        <v>342</v>
      </c>
      <c r="C28" s="204" t="s">
        <v>343</v>
      </c>
      <c r="D28" s="741" t="s">
        <v>344</v>
      </c>
      <c r="E28" s="741"/>
      <c r="F28" s="205" t="s">
        <v>20</v>
      </c>
      <c r="G28" s="215">
        <v>3000</v>
      </c>
      <c r="H28" s="211">
        <v>1597000</v>
      </c>
      <c r="I28" s="208">
        <f>SUM(G28:H28)</f>
        <v>1600000</v>
      </c>
      <c r="J28" s="215">
        <v>3000</v>
      </c>
      <c r="K28" s="209">
        <f>J28/G28</f>
        <v>1</v>
      </c>
      <c r="L28" s="309">
        <f>[27]Dataภาพรวม!G36+[27]Dataภาพรวม!L36+[27]Dataภาพรวม!M36+[27]Dataภาพรวม!N36-J28</f>
        <v>369502.95</v>
      </c>
      <c r="M28" s="210">
        <f>L28/H28</f>
        <v>0.23137316844082656</v>
      </c>
      <c r="N28" s="313">
        <f>G28-J28</f>
        <v>0</v>
      </c>
      <c r="O28" s="209">
        <f>N28/G28</f>
        <v>0</v>
      </c>
      <c r="P28" s="211">
        <f>H28-L28</f>
        <v>1227497.05</v>
      </c>
      <c r="Q28" s="212">
        <f>P28/H28</f>
        <v>0.76862683155917344</v>
      </c>
      <c r="R28" s="218" t="s">
        <v>160</v>
      </c>
      <c r="S28" s="219" t="s">
        <v>345</v>
      </c>
      <c r="T28" s="214"/>
    </row>
    <row r="29" spans="1:23" ht="93.75" customHeight="1" x14ac:dyDescent="0.8">
      <c r="A29" s="202" t="s">
        <v>346</v>
      </c>
      <c r="B29" s="203" t="s">
        <v>347</v>
      </c>
      <c r="C29" s="204" t="s">
        <v>348</v>
      </c>
      <c r="D29" s="741" t="s">
        <v>349</v>
      </c>
      <c r="E29" s="741"/>
      <c r="F29" s="205" t="s">
        <v>304</v>
      </c>
      <c r="G29" s="206"/>
      <c r="H29" s="211">
        <v>27000</v>
      </c>
      <c r="I29" s="208">
        <f t="shared" si="3"/>
        <v>27000</v>
      </c>
      <c r="J29" s="215"/>
      <c r="K29" s="209"/>
      <c r="L29" s="309">
        <f>[27]Dataภาพรวม!G38+[27]Dataภาพรวม!L38+[27]Dataภาพรวม!M38+[27]Dataภาพรวม!N38-J29</f>
        <v>1177</v>
      </c>
      <c r="M29" s="210">
        <f t="shared" si="1"/>
        <v>4.3592592592592593E-2</v>
      </c>
      <c r="N29" s="206"/>
      <c r="O29" s="209"/>
      <c r="P29" s="211">
        <f t="shared" si="5"/>
        <v>25823</v>
      </c>
      <c r="Q29" s="212">
        <f t="shared" si="6"/>
        <v>0.95640740740740737</v>
      </c>
      <c r="R29" s="218" t="s">
        <v>153</v>
      </c>
      <c r="S29" s="330" t="s">
        <v>350</v>
      </c>
      <c r="T29" s="214"/>
    </row>
    <row r="30" spans="1:23" ht="72" x14ac:dyDescent="0.8">
      <c r="A30" s="202" t="s">
        <v>351</v>
      </c>
      <c r="B30" s="203">
        <v>5031131000</v>
      </c>
      <c r="C30" s="204" t="s">
        <v>352</v>
      </c>
      <c r="D30" s="741" t="s">
        <v>120</v>
      </c>
      <c r="E30" s="741"/>
      <c r="F30" s="205" t="s">
        <v>20</v>
      </c>
      <c r="G30" s="206"/>
      <c r="H30" s="211">
        <v>220000</v>
      </c>
      <c r="I30" s="208">
        <f t="shared" si="3"/>
        <v>220000</v>
      </c>
      <c r="J30" s="215"/>
      <c r="K30" s="209"/>
      <c r="L30" s="309">
        <f>[27]Dataภาพรวม!G42+[27]Dataภาพรวม!L42+[27]Dataภาพรวม!M42+[27]Dataภาพรวม!N42-J30</f>
        <v>60000</v>
      </c>
      <c r="M30" s="210">
        <f t="shared" si="1"/>
        <v>0.27272727272727271</v>
      </c>
      <c r="N30" s="206"/>
      <c r="O30" s="209"/>
      <c r="P30" s="211">
        <f t="shared" si="5"/>
        <v>160000</v>
      </c>
      <c r="Q30" s="212">
        <f t="shared" si="6"/>
        <v>0.72727272727272729</v>
      </c>
      <c r="R30" s="218" t="s">
        <v>165</v>
      </c>
      <c r="S30" s="219" t="s">
        <v>353</v>
      </c>
      <c r="T30" s="214"/>
    </row>
    <row r="31" spans="1:23" ht="74.2" customHeight="1" x14ac:dyDescent="0.8">
      <c r="A31" s="202" t="s">
        <v>325</v>
      </c>
      <c r="B31" s="203" t="s">
        <v>354</v>
      </c>
      <c r="C31" s="204" t="s">
        <v>355</v>
      </c>
      <c r="D31" s="741" t="s">
        <v>356</v>
      </c>
      <c r="E31" s="741"/>
      <c r="F31" s="205" t="s">
        <v>304</v>
      </c>
      <c r="G31" s="206"/>
      <c r="H31" s="211">
        <v>147000</v>
      </c>
      <c r="I31" s="208">
        <f t="shared" si="3"/>
        <v>147000</v>
      </c>
      <c r="J31" s="215"/>
      <c r="K31" s="209"/>
      <c r="L31" s="309">
        <v>46866</v>
      </c>
      <c r="M31" s="210">
        <f t="shared" si="1"/>
        <v>0.31881632653061226</v>
      </c>
      <c r="N31" s="206"/>
      <c r="O31" s="209"/>
      <c r="P31" s="211">
        <f t="shared" si="5"/>
        <v>100134</v>
      </c>
      <c r="Q31" s="212">
        <f>P31/H31</f>
        <v>0.6811836734693878</v>
      </c>
      <c r="R31" s="218" t="s">
        <v>131</v>
      </c>
      <c r="S31" s="219" t="s">
        <v>357</v>
      </c>
    </row>
    <row r="32" spans="1:23" ht="19.05" customHeight="1" x14ac:dyDescent="0.8">
      <c r="A32" s="202">
        <v>30212</v>
      </c>
      <c r="B32" s="203" t="s">
        <v>358</v>
      </c>
      <c r="C32" s="204" t="s">
        <v>359</v>
      </c>
      <c r="D32" s="741" t="s">
        <v>360</v>
      </c>
      <c r="E32" s="741"/>
      <c r="F32" s="205" t="s">
        <v>361</v>
      </c>
      <c r="G32" s="206"/>
      <c r="H32" s="211">
        <v>6300</v>
      </c>
      <c r="I32" s="208">
        <f>SUM(G32:H32)</f>
        <v>6300</v>
      </c>
      <c r="J32" s="215"/>
      <c r="K32" s="209"/>
      <c r="L32" s="309">
        <f>[27]Dataภาพรวม!G40+[27]Dataภาพรวม!L40+[27]Dataภาพรวม!M40+[27]Dataภาพรวม!N40-J32</f>
        <v>5550</v>
      </c>
      <c r="M32" s="210">
        <f>L32/H32</f>
        <v>0.88095238095238093</v>
      </c>
      <c r="N32" s="206"/>
      <c r="O32" s="209"/>
      <c r="P32" s="211">
        <f>H32-L32</f>
        <v>750</v>
      </c>
      <c r="Q32" s="212">
        <f>P32/H32</f>
        <v>0.11904761904761904</v>
      </c>
      <c r="R32" s="218" t="s">
        <v>168</v>
      </c>
      <c r="S32" s="254" t="s">
        <v>362</v>
      </c>
      <c r="T32" s="214"/>
    </row>
    <row r="33" spans="1:21" ht="38.549999999999997" customHeight="1" x14ac:dyDescent="0.8">
      <c r="A33" s="202">
        <v>30212</v>
      </c>
      <c r="B33" s="203" t="s">
        <v>363</v>
      </c>
      <c r="C33" s="204" t="s">
        <v>364</v>
      </c>
      <c r="D33" s="741" t="s">
        <v>116</v>
      </c>
      <c r="E33" s="741"/>
      <c r="F33" s="205" t="s">
        <v>365</v>
      </c>
      <c r="G33" s="255"/>
      <c r="H33" s="255">
        <v>23000</v>
      </c>
      <c r="I33" s="255">
        <f>SUM(G33:H33)</f>
        <v>23000</v>
      </c>
      <c r="J33" s="325"/>
      <c r="K33" s="325"/>
      <c r="L33" s="325">
        <v>23000</v>
      </c>
      <c r="M33" s="256"/>
      <c r="N33" s="255"/>
      <c r="O33" s="257"/>
      <c r="P33" s="255"/>
      <c r="Q33" s="257"/>
      <c r="R33" s="218" t="s">
        <v>170</v>
      </c>
      <c r="S33" s="219" t="s">
        <v>366</v>
      </c>
    </row>
    <row r="34" spans="1:21" x14ac:dyDescent="0.8">
      <c r="A34" s="258"/>
      <c r="B34" s="259"/>
      <c r="C34" s="204" t="s">
        <v>367</v>
      </c>
      <c r="D34" s="742" t="s">
        <v>368</v>
      </c>
      <c r="E34" s="742"/>
      <c r="F34" s="205" t="s">
        <v>283</v>
      </c>
      <c r="G34" s="260">
        <v>2806.18</v>
      </c>
      <c r="H34" s="260" t="s">
        <v>24</v>
      </c>
      <c r="I34" s="260">
        <f t="shared" si="3"/>
        <v>2806.18</v>
      </c>
      <c r="J34" s="260">
        <v>2601.38</v>
      </c>
      <c r="K34" s="261">
        <f>J34/G34</f>
        <v>0.92701822406260481</v>
      </c>
      <c r="L34" s="326">
        <f>[27]Dataภาพรวม!G26+[27]Dataภาพรวม!L26+[27]Dataภาพรวม!M26+[27]Dataภาพรวม!N26-J34</f>
        <v>0</v>
      </c>
      <c r="M34" s="262" t="s">
        <v>24</v>
      </c>
      <c r="N34" s="260">
        <f>G34-J34</f>
        <v>204.79999999999973</v>
      </c>
      <c r="O34" s="261">
        <f>J34/G34</f>
        <v>0.92701822406260481</v>
      </c>
      <c r="P34" s="255"/>
      <c r="Q34" s="257"/>
      <c r="R34" s="263"/>
      <c r="S34" s="253" t="s">
        <v>369</v>
      </c>
    </row>
    <row r="35" spans="1:21" x14ac:dyDescent="0.8">
      <c r="A35" s="743" t="s">
        <v>370</v>
      </c>
      <c r="B35" s="744"/>
      <c r="C35" s="744" t="s">
        <v>371</v>
      </c>
      <c r="D35" s="264" t="s">
        <v>372</v>
      </c>
      <c r="E35" s="264" t="s">
        <v>373</v>
      </c>
      <c r="F35" s="265" t="s">
        <v>242</v>
      </c>
      <c r="G35" s="196"/>
      <c r="H35" s="196">
        <f>SUM(H36:H50)</f>
        <v>29633600</v>
      </c>
      <c r="I35" s="196">
        <f>SUM(I36:I50)</f>
        <v>29633600</v>
      </c>
      <c r="J35" s="196"/>
      <c r="K35" s="266"/>
      <c r="L35" s="196">
        <f>SUM(L36:L50)</f>
        <v>25303985</v>
      </c>
      <c r="M35" s="198">
        <f>L35/H35</f>
        <v>0.85389507181037738</v>
      </c>
      <c r="N35" s="196"/>
      <c r="O35" s="197"/>
      <c r="P35" s="196">
        <f>SUM(P36:P50)</f>
        <v>4291615</v>
      </c>
      <c r="Q35" s="267">
        <f>P35/H35</f>
        <v>0.14482260002159711</v>
      </c>
      <c r="R35" s="268"/>
      <c r="S35" s="327" t="s">
        <v>374</v>
      </c>
    </row>
    <row r="36" spans="1:21" ht="33" customHeight="1" x14ac:dyDescent="0.8">
      <c r="A36" s="735" t="s">
        <v>375</v>
      </c>
      <c r="B36" s="203" t="s">
        <v>189</v>
      </c>
      <c r="C36" s="204" t="s">
        <v>191</v>
      </c>
      <c r="D36" s="269">
        <v>1</v>
      </c>
      <c r="E36" s="270" t="s">
        <v>376</v>
      </c>
      <c r="F36" s="271" t="s">
        <v>377</v>
      </c>
      <c r="G36" s="255"/>
      <c r="H36" s="255">
        <v>38000</v>
      </c>
      <c r="I36" s="255">
        <f t="shared" ref="I36:I50" si="7">SUM(H36:H36)</f>
        <v>38000</v>
      </c>
      <c r="J36" s="325"/>
      <c r="K36" s="325"/>
      <c r="L36" s="325"/>
      <c r="M36" s="256"/>
      <c r="N36" s="255"/>
      <c r="O36" s="257"/>
      <c r="P36" s="255"/>
      <c r="Q36" s="257"/>
      <c r="R36" s="272"/>
      <c r="S36" s="273" t="s">
        <v>378</v>
      </c>
      <c r="T36" s="274"/>
    </row>
    <row r="37" spans="1:21" ht="54" x14ac:dyDescent="0.8">
      <c r="A37" s="735"/>
      <c r="B37" s="203" t="s">
        <v>205</v>
      </c>
      <c r="C37" s="204" t="s">
        <v>207</v>
      </c>
      <c r="D37" s="269">
        <v>1</v>
      </c>
      <c r="E37" s="270" t="s">
        <v>376</v>
      </c>
      <c r="F37" s="275" t="s">
        <v>379</v>
      </c>
      <c r="G37" s="206"/>
      <c r="H37" s="211">
        <v>8000</v>
      </c>
      <c r="I37" s="208">
        <f t="shared" si="7"/>
        <v>8000</v>
      </c>
      <c r="J37" s="276"/>
      <c r="K37" s="276"/>
      <c r="L37" s="309">
        <f>[27]Dataภาพรวม!G54+[27]Dataภาพรวม!L54+[27]Dataภาพรวม!M54+[27]Dataภาพรวม!N54-J37</f>
        <v>8000</v>
      </c>
      <c r="M37" s="277">
        <f t="shared" ref="M37:M48" si="8">L37/H37</f>
        <v>1</v>
      </c>
      <c r="N37" s="215"/>
      <c r="O37" s="278"/>
      <c r="P37" s="309">
        <f t="shared" ref="P37:P50" si="9">I37-L37</f>
        <v>0</v>
      </c>
      <c r="Q37" s="210">
        <f t="shared" ref="Q37:Q51" si="10">P37/H37</f>
        <v>0</v>
      </c>
      <c r="R37" s="279"/>
      <c r="S37" s="253" t="s">
        <v>380</v>
      </c>
      <c r="T37" s="274"/>
    </row>
    <row r="38" spans="1:21" ht="55.05" customHeight="1" x14ac:dyDescent="0.8">
      <c r="A38" s="202" t="s">
        <v>381</v>
      </c>
      <c r="B38" s="203" t="s">
        <v>382</v>
      </c>
      <c r="C38" s="204" t="s">
        <v>209</v>
      </c>
      <c r="D38" s="269">
        <v>21</v>
      </c>
      <c r="E38" s="270" t="s">
        <v>383</v>
      </c>
      <c r="F38" s="275" t="s">
        <v>384</v>
      </c>
      <c r="G38" s="206"/>
      <c r="H38" s="211">
        <v>678000</v>
      </c>
      <c r="I38" s="208">
        <f t="shared" si="7"/>
        <v>678000</v>
      </c>
      <c r="J38" s="215"/>
      <c r="K38" s="276"/>
      <c r="L38" s="309">
        <f>[27]Dataภาพรวม!G59+[27]Dataภาพรวม!L59+[27]Dataภาพรวม!M59+[27]Dataภาพรวม!N59-J38</f>
        <v>0</v>
      </c>
      <c r="M38" s="210">
        <f t="shared" si="8"/>
        <v>0</v>
      </c>
      <c r="N38" s="215"/>
      <c r="O38" s="278"/>
      <c r="P38" s="280">
        <f t="shared" si="9"/>
        <v>678000</v>
      </c>
      <c r="Q38" s="281">
        <f t="shared" si="10"/>
        <v>1</v>
      </c>
      <c r="R38" s="279"/>
      <c r="S38" s="328" t="s">
        <v>385</v>
      </c>
    </row>
    <row r="39" spans="1:21" ht="54" x14ac:dyDescent="0.8">
      <c r="A39" s="282" t="s">
        <v>386</v>
      </c>
      <c r="B39" s="203" t="s">
        <v>387</v>
      </c>
      <c r="C39" s="204" t="s">
        <v>388</v>
      </c>
      <c r="D39" s="269" t="s">
        <v>389</v>
      </c>
      <c r="E39" s="283" t="s">
        <v>390</v>
      </c>
      <c r="F39" s="275" t="s">
        <v>391</v>
      </c>
      <c r="G39" s="206"/>
      <c r="H39" s="211">
        <v>23000</v>
      </c>
      <c r="I39" s="208">
        <f>SUM(H39:H39)</f>
        <v>23000</v>
      </c>
      <c r="J39" s="215"/>
      <c r="K39" s="276"/>
      <c r="L39" s="309">
        <f>[27]Dataภาพรวม!G56+[27]Dataภาพรวม!L56+[27]Dataภาพรวม!M56+[27]Dataภาพรวม!N56-J39</f>
        <v>0</v>
      </c>
      <c r="M39" s="210">
        <f t="shared" si="8"/>
        <v>0</v>
      </c>
      <c r="N39" s="215"/>
      <c r="O39" s="278"/>
      <c r="P39" s="280">
        <f>I39-L39</f>
        <v>23000</v>
      </c>
      <c r="Q39" s="281">
        <f>P39/H39</f>
        <v>1</v>
      </c>
      <c r="R39" s="279"/>
      <c r="S39" s="329" t="s">
        <v>392</v>
      </c>
      <c r="T39" s="274"/>
    </row>
    <row r="40" spans="1:21" ht="36" x14ac:dyDescent="0.8">
      <c r="A40" s="282" t="s">
        <v>386</v>
      </c>
      <c r="B40" s="203" t="s">
        <v>393</v>
      </c>
      <c r="C40" s="204" t="s">
        <v>394</v>
      </c>
      <c r="D40" s="269">
        <v>1</v>
      </c>
      <c r="E40" s="270" t="s">
        <v>395</v>
      </c>
      <c r="F40" s="275" t="s">
        <v>391</v>
      </c>
      <c r="G40" s="206"/>
      <c r="H40" s="211">
        <v>11000</v>
      </c>
      <c r="I40" s="208">
        <f t="shared" si="7"/>
        <v>11000</v>
      </c>
      <c r="J40" s="215"/>
      <c r="K40" s="276"/>
      <c r="L40" s="309">
        <f>[27]Dataภาพรวม!G57+[27]Dataภาพรวม!L57+[27]Dataภาพรวม!M57+[27]Dataภาพรวม!N57-J40</f>
        <v>0</v>
      </c>
      <c r="M40" s="210">
        <f t="shared" si="8"/>
        <v>0</v>
      </c>
      <c r="N40" s="215"/>
      <c r="O40" s="278"/>
      <c r="P40" s="280">
        <f t="shared" si="9"/>
        <v>11000</v>
      </c>
      <c r="Q40" s="281">
        <f t="shared" si="10"/>
        <v>1</v>
      </c>
      <c r="R40" s="279"/>
      <c r="S40" s="329" t="s">
        <v>396</v>
      </c>
      <c r="T40" s="274"/>
    </row>
    <row r="41" spans="1:21" ht="36" x14ac:dyDescent="0.8">
      <c r="A41" s="202" t="s">
        <v>397</v>
      </c>
      <c r="B41" s="203" t="s">
        <v>398</v>
      </c>
      <c r="C41" s="204" t="s">
        <v>217</v>
      </c>
      <c r="D41" s="269">
        <v>1</v>
      </c>
      <c r="E41" s="270" t="s">
        <v>390</v>
      </c>
      <c r="F41" s="275" t="s">
        <v>399</v>
      </c>
      <c r="G41" s="206"/>
      <c r="H41" s="211">
        <v>112000</v>
      </c>
      <c r="I41" s="208">
        <f t="shared" si="7"/>
        <v>112000</v>
      </c>
      <c r="J41" s="276"/>
      <c r="K41" s="276"/>
      <c r="L41" s="309">
        <f>[27]Dataภาพรวม!G61+[27]Dataภาพรวม!L61+[27]Dataภาพรวม!M61+[27]Dataภาพรวม!N61-J41</f>
        <v>105000</v>
      </c>
      <c r="M41" s="277">
        <f t="shared" si="8"/>
        <v>0.9375</v>
      </c>
      <c r="N41" s="215"/>
      <c r="O41" s="278"/>
      <c r="P41" s="280">
        <f t="shared" si="9"/>
        <v>7000</v>
      </c>
      <c r="Q41" s="281">
        <f t="shared" si="10"/>
        <v>6.25E-2</v>
      </c>
      <c r="R41" s="279"/>
      <c r="S41" s="253" t="s">
        <v>400</v>
      </c>
      <c r="T41" s="274"/>
    </row>
    <row r="42" spans="1:21" ht="40.5" customHeight="1" x14ac:dyDescent="0.8">
      <c r="A42" s="736" t="s">
        <v>401</v>
      </c>
      <c r="B42" s="203" t="s">
        <v>402</v>
      </c>
      <c r="C42" s="204" t="s">
        <v>403</v>
      </c>
      <c r="D42" s="269">
        <v>1</v>
      </c>
      <c r="E42" s="270" t="s">
        <v>390</v>
      </c>
      <c r="F42" s="275" t="s">
        <v>304</v>
      </c>
      <c r="G42" s="206"/>
      <c r="H42" s="211">
        <v>310000</v>
      </c>
      <c r="I42" s="208">
        <f t="shared" si="7"/>
        <v>310000</v>
      </c>
      <c r="J42" s="215"/>
      <c r="K42" s="276"/>
      <c r="L42" s="309">
        <f>[27]Dataภาพรวม!G47+[27]Dataภาพรวม!L47+[27]Dataภาพรวม!M47+[27]Dataภาพรวม!N47-J42</f>
        <v>256800</v>
      </c>
      <c r="M42" s="210">
        <f t="shared" si="8"/>
        <v>0.82838709677419353</v>
      </c>
      <c r="N42" s="215"/>
      <c r="O42" s="278"/>
      <c r="P42" s="280">
        <f t="shared" si="9"/>
        <v>53200</v>
      </c>
      <c r="Q42" s="281">
        <f t="shared" si="10"/>
        <v>0.17161290322580644</v>
      </c>
      <c r="R42" s="279"/>
      <c r="S42" s="219" t="s">
        <v>404</v>
      </c>
    </row>
    <row r="43" spans="1:21" ht="36" x14ac:dyDescent="0.8">
      <c r="A43" s="737"/>
      <c r="B43" s="203" t="s">
        <v>405</v>
      </c>
      <c r="C43" s="204" t="s">
        <v>406</v>
      </c>
      <c r="D43" s="269">
        <v>7</v>
      </c>
      <c r="E43" s="270" t="s">
        <v>390</v>
      </c>
      <c r="F43" s="205" t="s">
        <v>399</v>
      </c>
      <c r="G43" s="206"/>
      <c r="H43" s="211">
        <v>56000</v>
      </c>
      <c r="I43" s="208">
        <f t="shared" si="7"/>
        <v>56000</v>
      </c>
      <c r="J43" s="215"/>
      <c r="K43" s="276"/>
      <c r="L43" s="309">
        <f>[27]Dataภาพรวม!G51+[27]Dataภาพรวม!L51+[27]Dataภาพรวม!M51+[27]Dataภาพรวม!N51-J43</f>
        <v>48685</v>
      </c>
      <c r="M43" s="277">
        <f t="shared" si="8"/>
        <v>0.86937500000000001</v>
      </c>
      <c r="N43" s="215"/>
      <c r="O43" s="278"/>
      <c r="P43" s="280">
        <f t="shared" si="9"/>
        <v>7315</v>
      </c>
      <c r="Q43" s="281">
        <f t="shared" si="10"/>
        <v>0.13062499999999999</v>
      </c>
      <c r="R43" s="279"/>
      <c r="S43" s="253" t="s">
        <v>407</v>
      </c>
      <c r="U43" s="194"/>
    </row>
    <row r="44" spans="1:21" ht="57.75" customHeight="1" x14ac:dyDescent="0.8">
      <c r="A44" s="737"/>
      <c r="B44" s="203" t="s">
        <v>408</v>
      </c>
      <c r="C44" s="284" t="s">
        <v>409</v>
      </c>
      <c r="D44" s="269">
        <v>10</v>
      </c>
      <c r="E44" s="205" t="s">
        <v>410</v>
      </c>
      <c r="F44" s="205" t="s">
        <v>283</v>
      </c>
      <c r="G44" s="206"/>
      <c r="H44" s="211">
        <v>1765500</v>
      </c>
      <c r="I44" s="208">
        <f t="shared" si="7"/>
        <v>1765500</v>
      </c>
      <c r="J44" s="215"/>
      <c r="K44" s="276"/>
      <c r="L44" s="309">
        <f>[27]Dataภาพรวม!G50+[27]Dataภาพรวม!L50+[27]Dataภาพรวม!M50+[27]Dataภาพรวม!N50-J44</f>
        <v>1765500</v>
      </c>
      <c r="M44" s="210">
        <f t="shared" si="8"/>
        <v>1</v>
      </c>
      <c r="N44" s="285"/>
      <c r="O44" s="286"/>
      <c r="P44" s="222">
        <f>I44-L44</f>
        <v>0</v>
      </c>
      <c r="Q44" s="287">
        <f t="shared" si="10"/>
        <v>0</v>
      </c>
      <c r="R44" s="279"/>
      <c r="S44" s="253" t="s">
        <v>411</v>
      </c>
      <c r="U44" s="194"/>
    </row>
    <row r="45" spans="1:21" ht="74.2" customHeight="1" x14ac:dyDescent="0.8">
      <c r="A45" s="737"/>
      <c r="B45" s="203" t="s">
        <v>412</v>
      </c>
      <c r="C45" s="284" t="s">
        <v>413</v>
      </c>
      <c r="D45" s="269">
        <v>1</v>
      </c>
      <c r="E45" s="205" t="s">
        <v>410</v>
      </c>
      <c r="F45" s="205" t="s">
        <v>283</v>
      </c>
      <c r="G45" s="206"/>
      <c r="H45" s="211">
        <v>3902400</v>
      </c>
      <c r="I45" s="208">
        <f t="shared" si="7"/>
        <v>3902400</v>
      </c>
      <c r="J45" s="215"/>
      <c r="K45" s="276"/>
      <c r="L45" s="309">
        <f>[27]Dataภาพรวม!G65+[27]Dataภาพรวม!L65+[27]Dataภาพรวม!M65+[27]Dataภาพรวม!N65-J45</f>
        <v>1000000</v>
      </c>
      <c r="M45" s="210">
        <f t="shared" si="8"/>
        <v>0.25625256252562528</v>
      </c>
      <c r="N45" s="285"/>
      <c r="O45" s="286"/>
      <c r="P45" s="222">
        <f>I45-L45</f>
        <v>2902400</v>
      </c>
      <c r="Q45" s="288">
        <f t="shared" si="10"/>
        <v>0.74374743747437477</v>
      </c>
      <c r="R45" s="279"/>
      <c r="S45" s="219" t="s">
        <v>414</v>
      </c>
      <c r="T45" s="289" t="s">
        <v>415</v>
      </c>
    </row>
    <row r="46" spans="1:21" ht="54" x14ac:dyDescent="0.8">
      <c r="A46" s="737"/>
      <c r="B46" s="203" t="s">
        <v>416</v>
      </c>
      <c r="C46" s="284" t="s">
        <v>417</v>
      </c>
      <c r="D46" s="269">
        <v>8</v>
      </c>
      <c r="E46" s="275" t="s">
        <v>410</v>
      </c>
      <c r="F46" s="275" t="s">
        <v>304</v>
      </c>
      <c r="G46" s="206"/>
      <c r="H46" s="211">
        <v>1753800</v>
      </c>
      <c r="I46" s="208">
        <f t="shared" si="7"/>
        <v>1753800</v>
      </c>
      <c r="J46" s="215"/>
      <c r="K46" s="276"/>
      <c r="L46" s="309">
        <f>[27]Dataภาพรวม!G49+[27]Dataภาพรวม!L49+[27]Dataภาพรวม!M49+[27]Dataภาพรวม!N49-J46</f>
        <v>1430000</v>
      </c>
      <c r="M46" s="277">
        <f t="shared" si="8"/>
        <v>0.81537233435967615</v>
      </c>
      <c r="N46" s="285"/>
      <c r="O46" s="286"/>
      <c r="P46" s="309">
        <f>I46-L46</f>
        <v>323800</v>
      </c>
      <c r="Q46" s="210">
        <f t="shared" si="10"/>
        <v>0.18462766564032387</v>
      </c>
      <c r="R46" s="279"/>
      <c r="S46" s="219" t="s">
        <v>418</v>
      </c>
    </row>
    <row r="47" spans="1:21" ht="54" customHeight="1" x14ac:dyDescent="0.8">
      <c r="A47" s="737"/>
      <c r="B47" s="203" t="s">
        <v>419</v>
      </c>
      <c r="C47" s="290" t="s">
        <v>225</v>
      </c>
      <c r="D47" s="291">
        <v>1</v>
      </c>
      <c r="E47" s="275" t="s">
        <v>410</v>
      </c>
      <c r="F47" s="275" t="s">
        <v>304</v>
      </c>
      <c r="G47" s="292"/>
      <c r="H47" s="222">
        <v>13369200</v>
      </c>
      <c r="I47" s="293">
        <f t="shared" si="7"/>
        <v>13369200</v>
      </c>
      <c r="J47" s="215"/>
      <c r="K47" s="276"/>
      <c r="L47" s="309">
        <f>[27]Dataภาพรวม!G66+[27]Dataภาพรวม!L66+[27]Dataภาพรวม!M66+[27]Dataภาพรวม!N66-J47</f>
        <v>13100000</v>
      </c>
      <c r="M47" s="277">
        <f t="shared" si="8"/>
        <v>0.97986416539508725</v>
      </c>
      <c r="N47" s="285"/>
      <c r="O47" s="286"/>
      <c r="P47" s="309">
        <f>I47-L47</f>
        <v>269200</v>
      </c>
      <c r="Q47" s="210">
        <f t="shared" si="10"/>
        <v>2.0135834604912785E-2</v>
      </c>
      <c r="R47" s="279"/>
      <c r="S47" s="219" t="s">
        <v>420</v>
      </c>
    </row>
    <row r="48" spans="1:21" x14ac:dyDescent="0.8">
      <c r="A48" s="737"/>
      <c r="B48" s="203" t="s">
        <v>421</v>
      </c>
      <c r="C48" s="294" t="s">
        <v>169</v>
      </c>
      <c r="D48" s="269">
        <v>1</v>
      </c>
      <c r="E48" s="295" t="s">
        <v>422</v>
      </c>
      <c r="F48" s="275" t="s">
        <v>283</v>
      </c>
      <c r="G48" s="285"/>
      <c r="H48" s="296">
        <v>1765500</v>
      </c>
      <c r="I48" s="297">
        <f t="shared" si="7"/>
        <v>1765500</v>
      </c>
      <c r="J48" s="298"/>
      <c r="K48" s="276"/>
      <c r="L48" s="309">
        <f>[27]Dataภาพรวม!G48+[27]Dataภาพรวม!L48+[27]Dataภาพรวม!M48+[27]Dataภาพรวม!N48-J48</f>
        <v>1760000</v>
      </c>
      <c r="M48" s="277">
        <f t="shared" si="8"/>
        <v>0.99688473520249221</v>
      </c>
      <c r="N48" s="285"/>
      <c r="O48" s="299"/>
      <c r="P48" s="296">
        <f t="shared" si="9"/>
        <v>5500</v>
      </c>
      <c r="Q48" s="300">
        <f t="shared" si="10"/>
        <v>3.1152647975077881E-3</v>
      </c>
      <c r="R48" s="279"/>
      <c r="S48" s="219" t="s">
        <v>423</v>
      </c>
    </row>
    <row r="49" spans="1:19" ht="36" customHeight="1" x14ac:dyDescent="0.8">
      <c r="A49" s="737"/>
      <c r="B49" s="203" t="s">
        <v>424</v>
      </c>
      <c r="C49" s="301" t="s">
        <v>425</v>
      </c>
      <c r="D49" s="269">
        <v>1</v>
      </c>
      <c r="E49" s="295" t="s">
        <v>422</v>
      </c>
      <c r="F49" s="275" t="s">
        <v>283</v>
      </c>
      <c r="G49" s="285"/>
      <c r="H49" s="296">
        <v>4651200</v>
      </c>
      <c r="I49" s="297">
        <f t="shared" si="7"/>
        <v>4651200</v>
      </c>
      <c r="J49" s="298"/>
      <c r="K49" s="278"/>
      <c r="L49" s="309">
        <f>[27]Dataภาพรวม!G63+[27]Dataภาพรวม!L63+[27]Dataภาพรวม!M63+[27]Dataภาพรวม!N63-J49</f>
        <v>4650000</v>
      </c>
      <c r="M49" s="277">
        <f>L49/H49</f>
        <v>0.99974200206398345</v>
      </c>
      <c r="N49" s="285"/>
      <c r="O49" s="299"/>
      <c r="P49" s="296">
        <f t="shared" si="9"/>
        <v>1200</v>
      </c>
      <c r="Q49" s="300">
        <f t="shared" si="10"/>
        <v>2.5799793601651185E-4</v>
      </c>
      <c r="R49" s="279"/>
      <c r="S49" s="219" t="s">
        <v>426</v>
      </c>
    </row>
    <row r="50" spans="1:19" ht="37.5" customHeight="1" x14ac:dyDescent="0.8">
      <c r="A50" s="738"/>
      <c r="B50" s="203" t="s">
        <v>427</v>
      </c>
      <c r="C50" s="301" t="s">
        <v>428</v>
      </c>
      <c r="D50" s="269">
        <v>1</v>
      </c>
      <c r="E50" s="295" t="s">
        <v>422</v>
      </c>
      <c r="F50" s="275" t="s">
        <v>283</v>
      </c>
      <c r="G50" s="285"/>
      <c r="H50" s="296">
        <v>1190000</v>
      </c>
      <c r="I50" s="297">
        <f t="shared" si="7"/>
        <v>1190000</v>
      </c>
      <c r="J50" s="298"/>
      <c r="K50" s="278"/>
      <c r="L50" s="309">
        <f>[27]Dataภาพรวม!G64+[27]Dataภาพรวม!L64+[27]Dataภาพรวม!M64+[27]Dataภาพรวม!N64-J50</f>
        <v>1180000</v>
      </c>
      <c r="M50" s="277">
        <f>L50/H50</f>
        <v>0.99159663865546221</v>
      </c>
      <c r="N50" s="285"/>
      <c r="O50" s="299"/>
      <c r="P50" s="296">
        <f t="shared" si="9"/>
        <v>10000</v>
      </c>
      <c r="Q50" s="300">
        <f t="shared" si="10"/>
        <v>8.4033613445378148E-3</v>
      </c>
      <c r="R50" s="279"/>
      <c r="S50" s="219" t="s">
        <v>429</v>
      </c>
    </row>
    <row r="51" spans="1:19" x14ac:dyDescent="0.8">
      <c r="A51" s="739" t="s">
        <v>430</v>
      </c>
      <c r="B51" s="740"/>
      <c r="C51" s="740"/>
      <c r="D51" s="302"/>
      <c r="E51" s="302"/>
      <c r="F51" s="303"/>
      <c r="G51" s="196">
        <f>SUM(G35,G10)</f>
        <v>6840727.6599999992</v>
      </c>
      <c r="H51" s="196">
        <f>SUM(H35,H10)</f>
        <v>109212000</v>
      </c>
      <c r="I51" s="196">
        <f>SUM(I35,I10)</f>
        <v>116215398.13000001</v>
      </c>
      <c r="J51" s="196">
        <f>SUM(J35,J10)</f>
        <v>7003193.3299999991</v>
      </c>
      <c r="K51" s="266">
        <f>J51/G51</f>
        <v>1.0237497643635181</v>
      </c>
      <c r="L51" s="196">
        <f>SUM(L35,L10)</f>
        <v>61492256.963333338</v>
      </c>
      <c r="M51" s="198">
        <f>L51/H51</f>
        <v>0.56305403218816008</v>
      </c>
      <c r="N51" s="196"/>
      <c r="O51" s="197"/>
      <c r="P51" s="196">
        <f>SUM(P35,P10)</f>
        <v>47681743.036666662</v>
      </c>
      <c r="Q51" s="197">
        <f t="shared" si="10"/>
        <v>0.43659802069980097</v>
      </c>
      <c r="R51" s="200"/>
      <c r="S51" s="304"/>
    </row>
    <row r="52" spans="1:19" ht="9" customHeight="1" x14ac:dyDescent="0.8"/>
  </sheetData>
  <mergeCells count="63">
    <mergeCell ref="A1:D2"/>
    <mergeCell ref="E1:I2"/>
    <mergeCell ref="J1:K2"/>
    <mergeCell ref="A3:E3"/>
    <mergeCell ref="A4:E4"/>
    <mergeCell ref="S7:S9"/>
    <mergeCell ref="H8:H9"/>
    <mergeCell ref="I8:I9"/>
    <mergeCell ref="J8:J9"/>
    <mergeCell ref="K8:K9"/>
    <mergeCell ref="L8:L9"/>
    <mergeCell ref="M8:M9"/>
    <mergeCell ref="C7:C9"/>
    <mergeCell ref="B7:B9"/>
    <mergeCell ref="R7:R9"/>
    <mergeCell ref="A10:C10"/>
    <mergeCell ref="D10:E10"/>
    <mergeCell ref="N8:N9"/>
    <mergeCell ref="O8:O9"/>
    <mergeCell ref="P8:P9"/>
    <mergeCell ref="Q8:Q9"/>
    <mergeCell ref="D7:E9"/>
    <mergeCell ref="F7:F9"/>
    <mergeCell ref="G7:I7"/>
    <mergeCell ref="J7:M7"/>
    <mergeCell ref="N7:Q7"/>
    <mergeCell ref="G8:G9"/>
    <mergeCell ref="R20:R23"/>
    <mergeCell ref="S21:S22"/>
    <mergeCell ref="D28:E28"/>
    <mergeCell ref="D29:E29"/>
    <mergeCell ref="D30:E30"/>
    <mergeCell ref="D11:E11"/>
    <mergeCell ref="D12:E12"/>
    <mergeCell ref="D13:E13"/>
    <mergeCell ref="D14:E14"/>
    <mergeCell ref="D15:E15"/>
    <mergeCell ref="D16:E16"/>
    <mergeCell ref="D17:E17"/>
    <mergeCell ref="D18:E18"/>
    <mergeCell ref="D19:E19"/>
    <mergeCell ref="A20:A23"/>
    <mergeCell ref="D20:E20"/>
    <mergeCell ref="D21:E21"/>
    <mergeCell ref="D22:E22"/>
    <mergeCell ref="D23:E23"/>
    <mergeCell ref="B20:B23"/>
    <mergeCell ref="C20:C23"/>
    <mergeCell ref="A24:A25"/>
    <mergeCell ref="D24:E25"/>
    <mergeCell ref="F24:F25"/>
    <mergeCell ref="D26:E26"/>
    <mergeCell ref="D27:E27"/>
    <mergeCell ref="B24:B25"/>
    <mergeCell ref="C24:C25"/>
    <mergeCell ref="A36:A37"/>
    <mergeCell ref="A42:A50"/>
    <mergeCell ref="A51:C51"/>
    <mergeCell ref="D31:E31"/>
    <mergeCell ref="D32:E32"/>
    <mergeCell ref="D33:E33"/>
    <mergeCell ref="D34:E34"/>
    <mergeCell ref="A35:C35"/>
  </mergeCells>
  <hyperlinks>
    <hyperlink ref="R11" r:id="rId1" display="A1" xr:uid="{346E5F3B-1E98-4C74-82EC-85AFB5EFE84E}"/>
    <hyperlink ref="R12" r:id="rId2" xr:uid="{4299013C-12F1-4870-AF30-95E832ABBCDD}"/>
    <hyperlink ref="R27" r:id="rId3" display="B11" xr:uid="{7F98C6AB-D0D8-4E7F-96E5-93D46ECB19CD}"/>
    <hyperlink ref="R13" r:id="rId4" xr:uid="{B07463A9-593A-4569-B94E-5BBD6BAAA1D9}"/>
    <hyperlink ref="R14" r:id="rId5" xr:uid="{8C1E3EAC-4C5F-4CCD-80C3-943FEF29DE93}"/>
    <hyperlink ref="R15" r:id="rId6" xr:uid="{C0ECDF04-4870-43E9-B3C4-17DF89BE4D9F}"/>
    <hyperlink ref="R16" r:id="rId7" xr:uid="{49B6D796-CD21-469C-BC76-45DEFFF7A439}"/>
    <hyperlink ref="R17" r:id="rId8" xr:uid="{E0E71A4C-782F-4DD1-BB9E-49FE5F8D9A97}"/>
    <hyperlink ref="R18" r:id="rId9" xr:uid="{14943438-17DA-457F-99DE-3370E0E82C4B}"/>
    <hyperlink ref="R19" r:id="rId10" xr:uid="{BCBE56DF-0792-4E39-BC26-770ED300911A}"/>
    <hyperlink ref="R20" r:id="rId11" xr:uid="{E8A1EDE7-81DB-4249-8113-6996918843AD}"/>
    <hyperlink ref="R24" r:id="rId12" xr:uid="{7CA6FB99-AE8F-41CC-8C7E-C15F353FAF95}"/>
    <hyperlink ref="R31" r:id="rId13" xr:uid="{398B6CF5-1A40-47FE-B8F8-6C1BB78B443A}"/>
    <hyperlink ref="R29" r:id="rId14" xr:uid="{5BED91EF-213F-4B11-8AB0-E43F8B965E80}"/>
    <hyperlink ref="R30" r:id="rId15" xr:uid="{AACDD112-4417-4422-8962-95DE1C3A5DE7}"/>
    <hyperlink ref="R28" r:id="rId16" xr:uid="{EA43E34C-1C5B-4A51-867B-5B2071F7387E}"/>
    <hyperlink ref="R26" r:id="rId17" display="B9" xr:uid="{798244CB-4DA5-4CD7-99A5-730B45A6D1CA}"/>
    <hyperlink ref="R32" r:id="rId18" xr:uid="{BE46830A-22E6-4DB1-83CB-2976D66A8A3D}"/>
    <hyperlink ref="R33" r:id="rId19" xr:uid="{E2E7E419-450E-4EF8-87C5-ACC85B42F02D}"/>
  </hyperlinks>
  <pageMargins left="0.7" right="0.7" top="0.75" bottom="0.75" header="0.3" footer="0.3"/>
  <pageSetup paperSize="9" orientation="portrait" r:id="rId20"/>
  <drawing r:id="rId21"/>
  <legacyDrawing r:id="rId2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04FE-6397-4402-B396-138D97F9E4C6}">
  <sheetPr>
    <tabColor theme="9" tint="0.39997558519241921"/>
  </sheetPr>
  <dimension ref="A1:O57"/>
  <sheetViews>
    <sheetView showGridLines="0" zoomScaleNormal="100" workbookViewId="0">
      <pane xSplit="3" ySplit="12" topLeftCell="D26" activePane="bottomRight" state="frozen"/>
      <selection pane="topRight" activeCell="B21" sqref="B21"/>
      <selection pane="bottomLeft" activeCell="B21" sqref="B21"/>
      <selection pane="bottomRight" activeCell="F28" sqref="F28"/>
    </sheetView>
  </sheetViews>
  <sheetFormatPr defaultColWidth="8.5625" defaultRowHeight="18" x14ac:dyDescent="0.8"/>
  <cols>
    <col min="1" max="1" width="13.0625" style="61" customWidth="1"/>
    <col min="2" max="2" width="11.5" style="61" customWidth="1"/>
    <col min="3" max="3" width="22.5" style="61" customWidth="1"/>
    <col min="4" max="4" width="26.5625" style="60" customWidth="1"/>
    <col min="5" max="5" width="25.8125" style="60" customWidth="1"/>
    <col min="6" max="11" width="11.8125" style="61" customWidth="1"/>
    <col min="12" max="12" width="11.8125" style="62" customWidth="1"/>
    <col min="13" max="13" width="11.8125" style="61" customWidth="1"/>
    <col min="14" max="14" width="36.8125" style="61" customWidth="1"/>
    <col min="15" max="16384" width="8.5625" style="61"/>
  </cols>
  <sheetData>
    <row r="1" spans="1:14" ht="9" customHeight="1" x14ac:dyDescent="0.8">
      <c r="A1" s="853" t="s">
        <v>431</v>
      </c>
      <c r="B1" s="853"/>
      <c r="C1" s="853"/>
      <c r="D1" s="853"/>
    </row>
    <row r="2" spans="1:14" ht="21.7" customHeight="1" x14ac:dyDescent="0.8">
      <c r="A2" s="853"/>
      <c r="B2" s="853"/>
      <c r="C2" s="853"/>
      <c r="D2" s="853"/>
      <c r="G2" s="63" t="s">
        <v>234</v>
      </c>
      <c r="H2" s="854" t="s">
        <v>432</v>
      </c>
      <c r="I2" s="854"/>
      <c r="J2" s="854"/>
      <c r="K2" s="855" t="s">
        <v>433</v>
      </c>
      <c r="L2" s="855"/>
      <c r="M2" s="855"/>
      <c r="N2" s="855"/>
    </row>
    <row r="3" spans="1:14" ht="17.55" customHeight="1" x14ac:dyDescent="0.8">
      <c r="A3" s="856" t="s">
        <v>434</v>
      </c>
      <c r="B3" s="856"/>
      <c r="C3" s="66" t="s">
        <v>435</v>
      </c>
      <c r="D3" s="61"/>
      <c r="E3" s="61"/>
      <c r="G3" s="64"/>
      <c r="H3" s="854" t="s">
        <v>236</v>
      </c>
      <c r="I3" s="854"/>
      <c r="J3" s="854"/>
      <c r="K3" s="855"/>
      <c r="L3" s="855"/>
      <c r="M3" s="855"/>
      <c r="N3" s="855"/>
    </row>
    <row r="4" spans="1:14" ht="17.55" hidden="1" customHeight="1" x14ac:dyDescent="0.8">
      <c r="A4" s="856" t="s">
        <v>238</v>
      </c>
      <c r="B4" s="857"/>
      <c r="C4" s="857"/>
      <c r="D4" s="857"/>
      <c r="E4" s="857"/>
      <c r="F4" s="857"/>
      <c r="G4" s="857"/>
      <c r="K4" s="855"/>
      <c r="L4" s="855"/>
      <c r="M4" s="855"/>
      <c r="N4" s="855"/>
    </row>
    <row r="5" spans="1:14" ht="17.55" hidden="1" customHeight="1" x14ac:dyDescent="0.8">
      <c r="A5" s="856" t="s">
        <v>239</v>
      </c>
      <c r="B5" s="857"/>
      <c r="C5" s="857"/>
      <c r="D5" s="857"/>
      <c r="E5" s="857"/>
      <c r="F5" s="857"/>
      <c r="G5" s="857"/>
      <c r="K5" s="855"/>
      <c r="L5" s="855"/>
      <c r="M5" s="855"/>
      <c r="N5" s="855"/>
    </row>
    <row r="6" spans="1:14" ht="7.05" customHeight="1" thickBot="1" x14ac:dyDescent="0.85">
      <c r="A6" s="65"/>
      <c r="B6" s="65"/>
      <c r="C6" s="65"/>
      <c r="D6" s="67"/>
      <c r="E6" s="67"/>
      <c r="F6" s="65"/>
      <c r="G6" s="65"/>
      <c r="H6" s="65"/>
      <c r="I6" s="65"/>
      <c r="J6" s="65"/>
      <c r="K6" s="65"/>
      <c r="L6" s="68"/>
      <c r="M6" s="65"/>
    </row>
    <row r="7" spans="1:14" ht="18.399999999999999" hidden="1" thickBot="1" x14ac:dyDescent="0.85">
      <c r="B7" s="69"/>
      <c r="C7" s="70"/>
      <c r="D7" s="71"/>
      <c r="E7" s="71"/>
      <c r="F7" s="72"/>
      <c r="G7" s="72"/>
      <c r="H7" s="72"/>
      <c r="I7" s="73"/>
      <c r="J7" s="74"/>
      <c r="K7" s="74"/>
      <c r="L7" s="75"/>
      <c r="M7" s="76"/>
    </row>
    <row r="8" spans="1:14" s="77" customFormat="1" ht="18.399999999999999" thickTop="1" x14ac:dyDescent="0.8">
      <c r="A8" s="70" t="s">
        <v>240</v>
      </c>
      <c r="B8" s="832" t="s">
        <v>436</v>
      </c>
      <c r="C8" s="835" t="s">
        <v>3</v>
      </c>
      <c r="D8" s="838" t="s">
        <v>4</v>
      </c>
      <c r="E8" s="839"/>
      <c r="F8" s="842" t="s">
        <v>437</v>
      </c>
      <c r="G8" s="843"/>
      <c r="H8" s="843"/>
      <c r="I8" s="844" t="s">
        <v>438</v>
      </c>
      <c r="J8" s="844"/>
      <c r="K8" s="844"/>
      <c r="L8" s="844"/>
      <c r="M8" s="844"/>
      <c r="N8" s="844"/>
    </row>
    <row r="9" spans="1:14" s="77" customFormat="1" ht="17.55" customHeight="1" x14ac:dyDescent="0.8">
      <c r="A9" s="78" t="s">
        <v>247</v>
      </c>
      <c r="B9" s="833"/>
      <c r="C9" s="836"/>
      <c r="D9" s="840"/>
      <c r="E9" s="841"/>
      <c r="F9" s="79" t="s">
        <v>439</v>
      </c>
      <c r="G9" s="80" t="s">
        <v>440</v>
      </c>
      <c r="H9" s="845" t="s">
        <v>441</v>
      </c>
      <c r="I9" s="847" t="s">
        <v>439</v>
      </c>
      <c r="J9" s="848"/>
      <c r="K9" s="849" t="s">
        <v>440</v>
      </c>
      <c r="L9" s="850"/>
      <c r="M9" s="851" t="s">
        <v>441</v>
      </c>
      <c r="N9" s="851" t="s">
        <v>442</v>
      </c>
    </row>
    <row r="10" spans="1:14" s="77" customFormat="1" ht="22.05" customHeight="1" thickBot="1" x14ac:dyDescent="0.85">
      <c r="A10" s="78" t="s">
        <v>256</v>
      </c>
      <c r="B10" s="834"/>
      <c r="C10" s="837"/>
      <c r="D10" s="840"/>
      <c r="E10" s="841"/>
      <c r="F10" s="81" t="s">
        <v>443</v>
      </c>
      <c r="G10" s="82" t="s">
        <v>444</v>
      </c>
      <c r="H10" s="846"/>
      <c r="I10" s="83" t="s">
        <v>443</v>
      </c>
      <c r="J10" s="84" t="s">
        <v>445</v>
      </c>
      <c r="K10" s="82" t="s">
        <v>444</v>
      </c>
      <c r="L10" s="85" t="s">
        <v>446</v>
      </c>
      <c r="M10" s="852"/>
      <c r="N10" s="852"/>
    </row>
    <row r="11" spans="1:14" ht="18.399999999999999" thickTop="1" x14ac:dyDescent="0.8">
      <c r="A11" s="826" t="s">
        <v>447</v>
      </c>
      <c r="B11" s="827"/>
      <c r="C11" s="828"/>
      <c r="D11" s="829"/>
      <c r="E11" s="830"/>
      <c r="F11" s="86">
        <f t="shared" ref="F11:M11" si="0">SUM(F12,F19)</f>
        <v>79558422</v>
      </c>
      <c r="G11" s="86">
        <f t="shared" si="0"/>
        <v>111231035</v>
      </c>
      <c r="H11" s="86">
        <f t="shared" si="0"/>
        <v>190789457</v>
      </c>
      <c r="I11" s="86">
        <f t="shared" si="0"/>
        <v>80456500</v>
      </c>
      <c r="J11" s="86">
        <f t="shared" si="0"/>
        <v>1068078</v>
      </c>
      <c r="K11" s="86">
        <f t="shared" si="0"/>
        <v>65511900</v>
      </c>
      <c r="L11" s="87">
        <f t="shared" si="0"/>
        <v>-45696135</v>
      </c>
      <c r="M11" s="86">
        <f t="shared" si="0"/>
        <v>145968400</v>
      </c>
      <c r="N11" s="88"/>
    </row>
    <row r="12" spans="1:14" x14ac:dyDescent="0.8">
      <c r="A12" s="831" t="s">
        <v>448</v>
      </c>
      <c r="B12" s="793"/>
      <c r="C12" s="794"/>
      <c r="D12" s="824"/>
      <c r="E12" s="825"/>
      <c r="F12" s="89">
        <f>SUM(F13:F18)</f>
        <v>14725350</v>
      </c>
      <c r="G12" s="90">
        <v>0</v>
      </c>
      <c r="H12" s="89">
        <f t="shared" ref="H12:H18" si="1">SUM(F12:G12)</f>
        <v>14725350</v>
      </c>
      <c r="I12" s="91">
        <f>SUM(I13:I18)</f>
        <v>15793500</v>
      </c>
      <c r="J12" s="91">
        <f>SUM(J13:J18)</f>
        <v>1068150</v>
      </c>
      <c r="K12" s="92">
        <f>SUM(K13:K18)</f>
        <v>0</v>
      </c>
      <c r="L12" s="92">
        <f t="shared" ref="L12:L18" si="2">K12-G12</f>
        <v>0</v>
      </c>
      <c r="M12" s="91">
        <f t="shared" ref="M12:M55" si="3">SUM(I12,K12)</f>
        <v>15793500</v>
      </c>
      <c r="N12" s="93"/>
    </row>
    <row r="13" spans="1:14" ht="36" x14ac:dyDescent="0.8">
      <c r="A13" s="814">
        <v>30102</v>
      </c>
      <c r="B13" s="94" t="s">
        <v>258</v>
      </c>
      <c r="C13" s="95" t="s">
        <v>259</v>
      </c>
      <c r="D13" s="810" t="s">
        <v>260</v>
      </c>
      <c r="E13" s="811"/>
      <c r="F13" s="96">
        <v>50000</v>
      </c>
      <c r="G13" s="97">
        <v>0</v>
      </c>
      <c r="H13" s="96">
        <f t="shared" si="1"/>
        <v>50000</v>
      </c>
      <c r="I13" s="98">
        <v>50000</v>
      </c>
      <c r="J13" s="99">
        <f t="shared" ref="J13:J18" si="4">I13-F13</f>
        <v>0</v>
      </c>
      <c r="K13" s="100">
        <v>0</v>
      </c>
      <c r="L13" s="100">
        <f t="shared" si="2"/>
        <v>0</v>
      </c>
      <c r="M13" s="98">
        <f t="shared" si="3"/>
        <v>50000</v>
      </c>
      <c r="N13" s="101"/>
    </row>
    <row r="14" spans="1:14" ht="36" customHeight="1" x14ac:dyDescent="0.8">
      <c r="A14" s="815"/>
      <c r="B14" s="94" t="s">
        <v>267</v>
      </c>
      <c r="C14" s="95" t="s">
        <v>268</v>
      </c>
      <c r="D14" s="810" t="s">
        <v>269</v>
      </c>
      <c r="E14" s="811"/>
      <c r="F14" s="96">
        <v>5900000</v>
      </c>
      <c r="G14" s="97">
        <v>0</v>
      </c>
      <c r="H14" s="96">
        <f t="shared" si="1"/>
        <v>5900000</v>
      </c>
      <c r="I14" s="98">
        <v>5900000</v>
      </c>
      <c r="J14" s="99">
        <f t="shared" si="4"/>
        <v>0</v>
      </c>
      <c r="K14" s="100">
        <v>0</v>
      </c>
      <c r="L14" s="100">
        <f t="shared" si="2"/>
        <v>0</v>
      </c>
      <c r="M14" s="98">
        <f t="shared" si="3"/>
        <v>5900000</v>
      </c>
      <c r="N14" s="101"/>
    </row>
    <row r="15" spans="1:14" ht="35.549999999999997" customHeight="1" x14ac:dyDescent="0.8">
      <c r="A15" s="94" t="s">
        <v>275</v>
      </c>
      <c r="B15" s="94" t="s">
        <v>276</v>
      </c>
      <c r="C15" s="95" t="s">
        <v>277</v>
      </c>
      <c r="D15" s="810" t="s">
        <v>278</v>
      </c>
      <c r="E15" s="811"/>
      <c r="F15" s="96">
        <v>6650000</v>
      </c>
      <c r="G15" s="97">
        <v>0</v>
      </c>
      <c r="H15" s="96">
        <f t="shared" si="1"/>
        <v>6650000</v>
      </c>
      <c r="I15" s="98">
        <v>7698100</v>
      </c>
      <c r="J15" s="102">
        <f t="shared" si="4"/>
        <v>1048100</v>
      </c>
      <c r="K15" s="100">
        <v>0</v>
      </c>
      <c r="L15" s="100">
        <f t="shared" si="2"/>
        <v>0</v>
      </c>
      <c r="M15" s="98">
        <f t="shared" si="3"/>
        <v>7698100</v>
      </c>
      <c r="N15" s="103" t="s">
        <v>449</v>
      </c>
    </row>
    <row r="16" spans="1:14" ht="21" customHeight="1" x14ac:dyDescent="0.8">
      <c r="A16" s="94" t="s">
        <v>280</v>
      </c>
      <c r="B16" s="94">
        <v>5020304000</v>
      </c>
      <c r="C16" s="95" t="s">
        <v>281</v>
      </c>
      <c r="D16" s="810" t="s">
        <v>282</v>
      </c>
      <c r="E16" s="811"/>
      <c r="F16" s="96">
        <v>457850</v>
      </c>
      <c r="G16" s="97">
        <v>0</v>
      </c>
      <c r="H16" s="96">
        <f t="shared" si="1"/>
        <v>457850</v>
      </c>
      <c r="I16" s="98">
        <v>457900</v>
      </c>
      <c r="J16" s="102">
        <f t="shared" si="4"/>
        <v>50</v>
      </c>
      <c r="K16" s="100">
        <v>0</v>
      </c>
      <c r="L16" s="100">
        <f t="shared" si="2"/>
        <v>0</v>
      </c>
      <c r="M16" s="98">
        <f t="shared" si="3"/>
        <v>457900</v>
      </c>
      <c r="N16" s="104" t="s">
        <v>450</v>
      </c>
    </row>
    <row r="17" spans="1:14" ht="36" x14ac:dyDescent="0.8">
      <c r="A17" s="94" t="s">
        <v>285</v>
      </c>
      <c r="B17" s="94" t="s">
        <v>286</v>
      </c>
      <c r="C17" s="95" t="s">
        <v>287</v>
      </c>
      <c r="D17" s="810" t="s">
        <v>288</v>
      </c>
      <c r="E17" s="811"/>
      <c r="F17" s="96">
        <v>145000</v>
      </c>
      <c r="G17" s="97">
        <v>0</v>
      </c>
      <c r="H17" s="96">
        <f t="shared" si="1"/>
        <v>145000</v>
      </c>
      <c r="I17" s="98">
        <v>165000</v>
      </c>
      <c r="J17" s="102">
        <f t="shared" si="4"/>
        <v>20000</v>
      </c>
      <c r="K17" s="100">
        <v>0</v>
      </c>
      <c r="L17" s="100">
        <f t="shared" si="2"/>
        <v>0</v>
      </c>
      <c r="M17" s="98">
        <f t="shared" si="3"/>
        <v>165000</v>
      </c>
      <c r="N17" s="103" t="s">
        <v>451</v>
      </c>
    </row>
    <row r="18" spans="1:14" ht="36" x14ac:dyDescent="0.8">
      <c r="A18" s="94" t="s">
        <v>290</v>
      </c>
      <c r="B18" s="94" t="s">
        <v>291</v>
      </c>
      <c r="C18" s="95" t="s">
        <v>292</v>
      </c>
      <c r="D18" s="810" t="s">
        <v>293</v>
      </c>
      <c r="E18" s="811"/>
      <c r="F18" s="96">
        <v>1522500</v>
      </c>
      <c r="G18" s="97">
        <v>0</v>
      </c>
      <c r="H18" s="96">
        <f t="shared" si="1"/>
        <v>1522500</v>
      </c>
      <c r="I18" s="98">
        <v>1522500</v>
      </c>
      <c r="J18" s="99">
        <f t="shared" si="4"/>
        <v>0</v>
      </c>
      <c r="K18" s="100">
        <v>0</v>
      </c>
      <c r="L18" s="100">
        <f t="shared" si="2"/>
        <v>0</v>
      </c>
      <c r="M18" s="98">
        <f t="shared" si="3"/>
        <v>1522500</v>
      </c>
      <c r="N18" s="101"/>
    </row>
    <row r="19" spans="1:14" x14ac:dyDescent="0.8">
      <c r="A19" s="792" t="s">
        <v>452</v>
      </c>
      <c r="B19" s="793"/>
      <c r="C19" s="794"/>
      <c r="D19" s="824"/>
      <c r="E19" s="825"/>
      <c r="F19" s="89">
        <f>SUM(F20:F23,F27:F35)</f>
        <v>64833072</v>
      </c>
      <c r="G19" s="90">
        <f>SUM(G20:G23,G27:G35)</f>
        <v>111231035</v>
      </c>
      <c r="H19" s="89">
        <f>SUM(H20:H23,H27:H35)</f>
        <v>176064107</v>
      </c>
      <c r="I19" s="91">
        <f>SUM(I20:I23,I28:I33,I35)</f>
        <v>64663000</v>
      </c>
      <c r="J19" s="105">
        <f>SUM(J20:J23,J28:J33,J35)</f>
        <v>-72</v>
      </c>
      <c r="K19" s="92">
        <f>SUM(K20:K23,K28:K33,K35)</f>
        <v>65511900</v>
      </c>
      <c r="L19" s="106">
        <f>SUM(L20:L23,L28:L33,L35)</f>
        <v>-45696135</v>
      </c>
      <c r="M19" s="91">
        <f t="shared" si="3"/>
        <v>130174900</v>
      </c>
      <c r="N19" s="107" t="s">
        <v>453</v>
      </c>
    </row>
    <row r="20" spans="1:14" ht="58.05" customHeight="1" x14ac:dyDescent="0.8">
      <c r="A20" s="94" t="s">
        <v>454</v>
      </c>
      <c r="B20" s="94" t="s">
        <v>296</v>
      </c>
      <c r="C20" s="95" t="s">
        <v>297</v>
      </c>
      <c r="D20" s="810" t="s">
        <v>298</v>
      </c>
      <c r="E20" s="811"/>
      <c r="F20" s="96">
        <v>55490000</v>
      </c>
      <c r="G20" s="97">
        <v>109580000</v>
      </c>
      <c r="H20" s="96">
        <f t="shared" ref="H20:H55" si="5">SUM(F20:G20)</f>
        <v>165070000</v>
      </c>
      <c r="I20" s="98">
        <v>55490000</v>
      </c>
      <c r="J20" s="99">
        <f t="shared" ref="J20:J35" si="6">I20-F20</f>
        <v>0</v>
      </c>
      <c r="K20" s="108">
        <v>63860000</v>
      </c>
      <c r="L20" s="109">
        <f t="shared" ref="L20:L35" si="7">K20-G20</f>
        <v>-45720000</v>
      </c>
      <c r="M20" s="98">
        <f t="shared" si="3"/>
        <v>119350000</v>
      </c>
      <c r="N20" s="110" t="s">
        <v>455</v>
      </c>
    </row>
    <row r="21" spans="1:14" ht="36.700000000000003" customHeight="1" x14ac:dyDescent="0.8">
      <c r="A21" s="814" t="s">
        <v>301</v>
      </c>
      <c r="B21" s="94">
        <v>5031120000</v>
      </c>
      <c r="C21" s="95" t="s">
        <v>302</v>
      </c>
      <c r="D21" s="810" t="s">
        <v>303</v>
      </c>
      <c r="E21" s="811"/>
      <c r="F21" s="96">
        <v>31000</v>
      </c>
      <c r="G21" s="97">
        <v>0</v>
      </c>
      <c r="H21" s="96">
        <f t="shared" si="5"/>
        <v>31000</v>
      </c>
      <c r="I21" s="98">
        <v>31000</v>
      </c>
      <c r="J21" s="99">
        <f t="shared" si="6"/>
        <v>0</v>
      </c>
      <c r="K21" s="100">
        <v>0</v>
      </c>
      <c r="L21" s="100">
        <f t="shared" si="7"/>
        <v>0</v>
      </c>
      <c r="M21" s="98">
        <f t="shared" si="3"/>
        <v>31000</v>
      </c>
      <c r="N21" s="101"/>
    </row>
    <row r="22" spans="1:14" ht="21.7" customHeight="1" x14ac:dyDescent="0.8">
      <c r="A22" s="815"/>
      <c r="B22" s="94" t="s">
        <v>308</v>
      </c>
      <c r="C22" s="95" t="s">
        <v>309</v>
      </c>
      <c r="D22" s="810" t="s">
        <v>310</v>
      </c>
      <c r="E22" s="811"/>
      <c r="F22" s="96">
        <v>4341900</v>
      </c>
      <c r="G22" s="97">
        <v>0</v>
      </c>
      <c r="H22" s="96">
        <f t="shared" si="5"/>
        <v>4341900</v>
      </c>
      <c r="I22" s="98">
        <v>4341900</v>
      </c>
      <c r="J22" s="99">
        <f t="shared" si="6"/>
        <v>0</v>
      </c>
      <c r="K22" s="100">
        <v>0</v>
      </c>
      <c r="L22" s="100">
        <f t="shared" si="7"/>
        <v>0</v>
      </c>
      <c r="M22" s="98">
        <f t="shared" si="3"/>
        <v>4341900</v>
      </c>
      <c r="N22" s="111"/>
    </row>
    <row r="23" spans="1:14" ht="21" customHeight="1" x14ac:dyDescent="0.8">
      <c r="A23" s="795" t="s">
        <v>312</v>
      </c>
      <c r="B23" s="795">
        <v>5031214000</v>
      </c>
      <c r="C23" s="819" t="s">
        <v>456</v>
      </c>
      <c r="D23" s="822" t="s">
        <v>314</v>
      </c>
      <c r="E23" s="823"/>
      <c r="F23" s="113">
        <f>SUM(F24:F26)</f>
        <v>2414322</v>
      </c>
      <c r="G23" s="114">
        <f>SUM(G24:G26)</f>
        <v>1621435</v>
      </c>
      <c r="H23" s="113">
        <f t="shared" si="5"/>
        <v>4035757</v>
      </c>
      <c r="I23" s="115">
        <v>2414500</v>
      </c>
      <c r="J23" s="116">
        <f t="shared" si="6"/>
        <v>178</v>
      </c>
      <c r="K23" s="114">
        <f>SUM(K24:K26)</f>
        <v>1645600</v>
      </c>
      <c r="L23" s="117">
        <f t="shared" si="7"/>
        <v>24165</v>
      </c>
      <c r="M23" s="115">
        <f t="shared" si="3"/>
        <v>4060100</v>
      </c>
      <c r="N23" s="111"/>
    </row>
    <row r="24" spans="1:14" ht="21" customHeight="1" x14ac:dyDescent="0.8">
      <c r="A24" s="818"/>
      <c r="B24" s="818"/>
      <c r="C24" s="820"/>
      <c r="D24" s="812" t="s">
        <v>316</v>
      </c>
      <c r="E24" s="813"/>
      <c r="F24" s="118">
        <v>2263050</v>
      </c>
      <c r="G24" s="118">
        <v>1131525</v>
      </c>
      <c r="H24" s="118">
        <f t="shared" si="5"/>
        <v>3394575</v>
      </c>
      <c r="I24" s="118">
        <v>2263100</v>
      </c>
      <c r="J24" s="119">
        <f t="shared" si="6"/>
        <v>50</v>
      </c>
      <c r="K24" s="120">
        <v>1131600</v>
      </c>
      <c r="L24" s="121">
        <f t="shared" si="7"/>
        <v>75</v>
      </c>
      <c r="M24" s="118">
        <f t="shared" si="3"/>
        <v>3394700</v>
      </c>
      <c r="N24" s="104" t="s">
        <v>450</v>
      </c>
    </row>
    <row r="25" spans="1:14" ht="36.700000000000003" customHeight="1" x14ac:dyDescent="0.8">
      <c r="A25" s="818"/>
      <c r="B25" s="818"/>
      <c r="C25" s="820"/>
      <c r="D25" s="812" t="s">
        <v>320</v>
      </c>
      <c r="E25" s="813"/>
      <c r="F25" s="118">
        <v>106412</v>
      </c>
      <c r="G25" s="118">
        <v>297952</v>
      </c>
      <c r="H25" s="118">
        <f t="shared" si="5"/>
        <v>404364</v>
      </c>
      <c r="I25" s="118">
        <v>106500</v>
      </c>
      <c r="J25" s="119">
        <f t="shared" si="6"/>
        <v>88</v>
      </c>
      <c r="K25" s="120">
        <v>298000</v>
      </c>
      <c r="L25" s="121">
        <f t="shared" si="7"/>
        <v>48</v>
      </c>
      <c r="M25" s="118">
        <f t="shared" si="3"/>
        <v>404500</v>
      </c>
      <c r="N25" s="104" t="s">
        <v>450</v>
      </c>
    </row>
    <row r="26" spans="1:14" ht="36.700000000000003" customHeight="1" x14ac:dyDescent="0.8">
      <c r="A26" s="796"/>
      <c r="B26" s="796"/>
      <c r="C26" s="821"/>
      <c r="D26" s="812" t="s">
        <v>77</v>
      </c>
      <c r="E26" s="813"/>
      <c r="F26" s="118">
        <v>44860</v>
      </c>
      <c r="G26" s="118">
        <v>191958</v>
      </c>
      <c r="H26" s="118">
        <f t="shared" si="5"/>
        <v>236818</v>
      </c>
      <c r="I26" s="118">
        <v>44900</v>
      </c>
      <c r="J26" s="122">
        <f t="shared" si="6"/>
        <v>40</v>
      </c>
      <c r="K26" s="123">
        <v>216000</v>
      </c>
      <c r="L26" s="121">
        <f t="shared" si="7"/>
        <v>24042</v>
      </c>
      <c r="M26" s="118">
        <f t="shared" si="3"/>
        <v>260900</v>
      </c>
      <c r="N26" s="124" t="s">
        <v>457</v>
      </c>
    </row>
    <row r="27" spans="1:14" ht="20.55" customHeight="1" x14ac:dyDescent="0.8">
      <c r="A27" s="814" t="s">
        <v>325</v>
      </c>
      <c r="B27" s="94" t="s">
        <v>354</v>
      </c>
      <c r="C27" s="95" t="s">
        <v>458</v>
      </c>
      <c r="D27" s="816" t="s">
        <v>356</v>
      </c>
      <c r="E27" s="817"/>
      <c r="F27" s="125">
        <v>147000</v>
      </c>
      <c r="G27" s="126">
        <v>0</v>
      </c>
      <c r="H27" s="125">
        <f t="shared" si="5"/>
        <v>147000</v>
      </c>
      <c r="I27" s="127">
        <v>147000</v>
      </c>
      <c r="J27" s="128">
        <f t="shared" si="6"/>
        <v>0</v>
      </c>
      <c r="K27" s="129">
        <v>0</v>
      </c>
      <c r="L27" s="129">
        <f t="shared" si="7"/>
        <v>0</v>
      </c>
      <c r="M27" s="127">
        <f t="shared" si="3"/>
        <v>147000</v>
      </c>
      <c r="N27" s="101" t="s">
        <v>459</v>
      </c>
    </row>
    <row r="28" spans="1:14" ht="34.5" customHeight="1" x14ac:dyDescent="0.8">
      <c r="A28" s="815"/>
      <c r="B28" s="94" t="s">
        <v>326</v>
      </c>
      <c r="C28" s="95" t="s">
        <v>460</v>
      </c>
      <c r="D28" s="810" t="s">
        <v>328</v>
      </c>
      <c r="E28" s="811"/>
      <c r="F28" s="96">
        <v>305250</v>
      </c>
      <c r="G28" s="97">
        <v>0</v>
      </c>
      <c r="H28" s="96">
        <f t="shared" si="5"/>
        <v>305250</v>
      </c>
      <c r="I28" s="98">
        <v>305300</v>
      </c>
      <c r="J28" s="102">
        <f t="shared" si="6"/>
        <v>50</v>
      </c>
      <c r="K28" s="100">
        <v>0</v>
      </c>
      <c r="L28" s="100">
        <f t="shared" si="7"/>
        <v>0</v>
      </c>
      <c r="M28" s="98">
        <f t="shared" si="3"/>
        <v>305300</v>
      </c>
      <c r="N28" s="104" t="s">
        <v>450</v>
      </c>
    </row>
    <row r="29" spans="1:14" x14ac:dyDescent="0.8">
      <c r="A29" s="94" t="s">
        <v>332</v>
      </c>
      <c r="B29" s="94" t="s">
        <v>333</v>
      </c>
      <c r="C29" s="95" t="s">
        <v>334</v>
      </c>
      <c r="D29" s="810" t="s">
        <v>87</v>
      </c>
      <c r="E29" s="811"/>
      <c r="F29" s="96">
        <v>150000</v>
      </c>
      <c r="G29" s="97">
        <v>0</v>
      </c>
      <c r="H29" s="96">
        <f t="shared" si="5"/>
        <v>150000</v>
      </c>
      <c r="I29" s="98">
        <v>150000</v>
      </c>
      <c r="J29" s="99">
        <f t="shared" si="6"/>
        <v>0</v>
      </c>
      <c r="K29" s="100">
        <v>0</v>
      </c>
      <c r="L29" s="100">
        <f t="shared" si="7"/>
        <v>0</v>
      </c>
      <c r="M29" s="98">
        <f t="shared" si="3"/>
        <v>150000</v>
      </c>
      <c r="N29" s="101"/>
    </row>
    <row r="30" spans="1:14" ht="21.7" customHeight="1" x14ac:dyDescent="0.8">
      <c r="A30" s="94" t="s">
        <v>336</v>
      </c>
      <c r="B30" s="94" t="s">
        <v>337</v>
      </c>
      <c r="C30" s="95" t="s">
        <v>338</v>
      </c>
      <c r="D30" s="810" t="s">
        <v>339</v>
      </c>
      <c r="E30" s="811"/>
      <c r="F30" s="96">
        <v>80000</v>
      </c>
      <c r="G30" s="97">
        <v>0</v>
      </c>
      <c r="H30" s="96">
        <f t="shared" si="5"/>
        <v>80000</v>
      </c>
      <c r="I30" s="98">
        <v>80000</v>
      </c>
      <c r="J30" s="99">
        <f t="shared" si="6"/>
        <v>0</v>
      </c>
      <c r="K30" s="100">
        <v>0</v>
      </c>
      <c r="L30" s="100">
        <f t="shared" si="7"/>
        <v>0</v>
      </c>
      <c r="M30" s="98">
        <f t="shared" si="3"/>
        <v>80000</v>
      </c>
      <c r="N30" s="101"/>
    </row>
    <row r="31" spans="1:14" ht="36.700000000000003" customHeight="1" x14ac:dyDescent="0.8">
      <c r="A31" s="94" t="s">
        <v>341</v>
      </c>
      <c r="B31" s="94" t="s">
        <v>342</v>
      </c>
      <c r="C31" s="95" t="s">
        <v>343</v>
      </c>
      <c r="D31" s="810" t="s">
        <v>344</v>
      </c>
      <c r="E31" s="811"/>
      <c r="F31" s="96">
        <v>1597000</v>
      </c>
      <c r="G31" s="97">
        <v>0</v>
      </c>
      <c r="H31" s="96">
        <f t="shared" si="5"/>
        <v>1597000</v>
      </c>
      <c r="I31" s="98">
        <v>1597000</v>
      </c>
      <c r="J31" s="99">
        <f t="shared" si="6"/>
        <v>0</v>
      </c>
      <c r="K31" s="100">
        <v>0</v>
      </c>
      <c r="L31" s="100">
        <f t="shared" si="7"/>
        <v>0</v>
      </c>
      <c r="M31" s="98">
        <f t="shared" si="3"/>
        <v>1597000</v>
      </c>
      <c r="N31" s="101"/>
    </row>
    <row r="32" spans="1:14" ht="54.7" customHeight="1" x14ac:dyDescent="0.8">
      <c r="A32" s="94" t="s">
        <v>346</v>
      </c>
      <c r="B32" s="94" t="s">
        <v>347</v>
      </c>
      <c r="C32" s="95" t="s">
        <v>348</v>
      </c>
      <c r="D32" s="810" t="s">
        <v>349</v>
      </c>
      <c r="E32" s="811"/>
      <c r="F32" s="96">
        <v>27000</v>
      </c>
      <c r="G32" s="97">
        <v>0</v>
      </c>
      <c r="H32" s="96">
        <f t="shared" si="5"/>
        <v>27000</v>
      </c>
      <c r="I32" s="98">
        <v>27000</v>
      </c>
      <c r="J32" s="99">
        <f t="shared" si="6"/>
        <v>0</v>
      </c>
      <c r="K32" s="100">
        <v>0</v>
      </c>
      <c r="L32" s="100">
        <f t="shared" si="7"/>
        <v>0</v>
      </c>
      <c r="M32" s="98">
        <f t="shared" si="3"/>
        <v>27000</v>
      </c>
      <c r="N32" s="101"/>
    </row>
    <row r="33" spans="1:15" ht="24" customHeight="1" x14ac:dyDescent="0.8">
      <c r="A33" s="814">
        <v>30212</v>
      </c>
      <c r="B33" s="94" t="s">
        <v>358</v>
      </c>
      <c r="C33" s="95" t="s">
        <v>461</v>
      </c>
      <c r="D33" s="810" t="s">
        <v>360</v>
      </c>
      <c r="E33" s="811"/>
      <c r="F33" s="96">
        <v>6600</v>
      </c>
      <c r="G33" s="97">
        <v>6600</v>
      </c>
      <c r="H33" s="96">
        <f t="shared" si="5"/>
        <v>13200</v>
      </c>
      <c r="I33" s="98">
        <v>6300</v>
      </c>
      <c r="J33" s="130">
        <f t="shared" si="6"/>
        <v>-300</v>
      </c>
      <c r="K33" s="97">
        <v>6300</v>
      </c>
      <c r="L33" s="109">
        <f t="shared" si="7"/>
        <v>-300</v>
      </c>
      <c r="M33" s="98">
        <f t="shared" si="3"/>
        <v>12600</v>
      </c>
      <c r="N33" s="131" t="s">
        <v>462</v>
      </c>
    </row>
    <row r="34" spans="1:15" ht="20.55" customHeight="1" x14ac:dyDescent="0.8">
      <c r="A34" s="815"/>
      <c r="B34" s="94" t="s">
        <v>363</v>
      </c>
      <c r="C34" s="95" t="s">
        <v>364</v>
      </c>
      <c r="D34" s="810" t="s">
        <v>116</v>
      </c>
      <c r="E34" s="811"/>
      <c r="F34" s="96">
        <v>23000</v>
      </c>
      <c r="G34" s="97">
        <v>23000</v>
      </c>
      <c r="H34" s="96">
        <f t="shared" si="5"/>
        <v>46000</v>
      </c>
      <c r="I34" s="127">
        <v>23000</v>
      </c>
      <c r="J34" s="128">
        <f t="shared" si="6"/>
        <v>0</v>
      </c>
      <c r="K34" s="129">
        <v>23000</v>
      </c>
      <c r="L34" s="129">
        <f t="shared" si="7"/>
        <v>0</v>
      </c>
      <c r="M34" s="127">
        <f t="shared" si="3"/>
        <v>46000</v>
      </c>
      <c r="N34" s="101" t="s">
        <v>459</v>
      </c>
    </row>
    <row r="35" spans="1:15" ht="36" x14ac:dyDescent="0.8">
      <c r="A35" s="94" t="s">
        <v>351</v>
      </c>
      <c r="B35" s="94">
        <v>5031131000</v>
      </c>
      <c r="C35" s="132" t="s">
        <v>352</v>
      </c>
      <c r="D35" s="810" t="s">
        <v>120</v>
      </c>
      <c r="E35" s="811"/>
      <c r="F35" s="96">
        <v>220000</v>
      </c>
      <c r="G35" s="97">
        <v>0</v>
      </c>
      <c r="H35" s="96">
        <f t="shared" si="5"/>
        <v>220000</v>
      </c>
      <c r="I35" s="98">
        <v>220000</v>
      </c>
      <c r="J35" s="99">
        <f t="shared" si="6"/>
        <v>0</v>
      </c>
      <c r="K35" s="100">
        <v>0</v>
      </c>
      <c r="L35" s="100">
        <f t="shared" si="7"/>
        <v>0</v>
      </c>
      <c r="M35" s="98">
        <f t="shared" si="3"/>
        <v>220000</v>
      </c>
      <c r="N35" s="101"/>
    </row>
    <row r="36" spans="1:15" x14ac:dyDescent="0.8">
      <c r="A36" s="792" t="s">
        <v>463</v>
      </c>
      <c r="B36" s="793"/>
      <c r="C36" s="794" t="s">
        <v>371</v>
      </c>
      <c r="D36" s="133" t="s">
        <v>372</v>
      </c>
      <c r="E36" s="134" t="s">
        <v>464</v>
      </c>
      <c r="F36" s="89">
        <f>SUM(F37:F55)</f>
        <v>30259742</v>
      </c>
      <c r="G36" s="92">
        <f>SUM(G37:G55)</f>
        <v>0</v>
      </c>
      <c r="H36" s="89">
        <f t="shared" si="5"/>
        <v>30259742</v>
      </c>
      <c r="I36" s="91">
        <f>SUM(I37:I55)</f>
        <v>29633600</v>
      </c>
      <c r="J36" s="105">
        <f>SUM(J37:J55)</f>
        <v>12742973</v>
      </c>
      <c r="K36" s="92">
        <f>SUM(K37:K55)</f>
        <v>0</v>
      </c>
      <c r="L36" s="135">
        <f>SUM(L37:L55)</f>
        <v>0</v>
      </c>
      <c r="M36" s="91">
        <f t="shared" si="3"/>
        <v>29633600</v>
      </c>
      <c r="N36" s="107"/>
      <c r="O36" s="61" t="s">
        <v>465</v>
      </c>
    </row>
    <row r="37" spans="1:15" x14ac:dyDescent="0.8">
      <c r="A37" s="795" t="s">
        <v>375</v>
      </c>
      <c r="B37" s="94" t="s">
        <v>189</v>
      </c>
      <c r="C37" s="136" t="s">
        <v>191</v>
      </c>
      <c r="D37" s="137">
        <v>1</v>
      </c>
      <c r="E37" s="138" t="s">
        <v>376</v>
      </c>
      <c r="F37" s="139">
        <v>38000</v>
      </c>
      <c r="G37" s="100">
        <v>0</v>
      </c>
      <c r="H37" s="139">
        <f t="shared" si="5"/>
        <v>38000</v>
      </c>
      <c r="I37" s="98">
        <v>38000</v>
      </c>
      <c r="J37" s="99">
        <f t="shared" ref="J37:J51" si="8">I37-F37</f>
        <v>0</v>
      </c>
      <c r="K37" s="100">
        <v>0</v>
      </c>
      <c r="L37" s="100">
        <f t="shared" ref="L37:L49" si="9">K37-G37</f>
        <v>0</v>
      </c>
      <c r="M37" s="98">
        <f t="shared" si="3"/>
        <v>38000</v>
      </c>
      <c r="N37" s="101"/>
      <c r="O37" s="140">
        <v>85</v>
      </c>
    </row>
    <row r="38" spans="1:15" x14ac:dyDescent="0.8">
      <c r="A38" s="796"/>
      <c r="B38" s="94" t="s">
        <v>205</v>
      </c>
      <c r="C38" s="141" t="s">
        <v>207</v>
      </c>
      <c r="D38" s="137">
        <v>1</v>
      </c>
      <c r="E38" s="138" t="s">
        <v>376</v>
      </c>
      <c r="F38" s="139">
        <v>8000</v>
      </c>
      <c r="G38" s="100">
        <v>0</v>
      </c>
      <c r="H38" s="139">
        <f t="shared" si="5"/>
        <v>8000</v>
      </c>
      <c r="I38" s="98">
        <v>8000</v>
      </c>
      <c r="J38" s="99">
        <f t="shared" si="8"/>
        <v>0</v>
      </c>
      <c r="K38" s="100">
        <v>0</v>
      </c>
      <c r="L38" s="100">
        <f t="shared" si="9"/>
        <v>0</v>
      </c>
      <c r="M38" s="98">
        <f t="shared" si="3"/>
        <v>8000</v>
      </c>
      <c r="N38" s="101"/>
      <c r="O38" s="140">
        <v>86</v>
      </c>
    </row>
    <row r="39" spans="1:15" x14ac:dyDescent="0.8">
      <c r="A39" s="94" t="s">
        <v>381</v>
      </c>
      <c r="B39" s="94" t="s">
        <v>382</v>
      </c>
      <c r="C39" s="141" t="s">
        <v>209</v>
      </c>
      <c r="D39" s="137">
        <v>21</v>
      </c>
      <c r="E39" s="138" t="s">
        <v>383</v>
      </c>
      <c r="F39" s="139">
        <v>678000</v>
      </c>
      <c r="G39" s="100">
        <v>0</v>
      </c>
      <c r="H39" s="139">
        <f t="shared" si="5"/>
        <v>678000</v>
      </c>
      <c r="I39" s="98">
        <v>678000</v>
      </c>
      <c r="J39" s="99">
        <f t="shared" si="8"/>
        <v>0</v>
      </c>
      <c r="K39" s="100">
        <v>0</v>
      </c>
      <c r="L39" s="100">
        <f t="shared" si="9"/>
        <v>0</v>
      </c>
      <c r="M39" s="98">
        <f t="shared" si="3"/>
        <v>678000</v>
      </c>
      <c r="N39" s="131"/>
      <c r="O39" s="61">
        <v>96</v>
      </c>
    </row>
    <row r="40" spans="1:15" x14ac:dyDescent="0.8">
      <c r="A40" s="795" t="s">
        <v>386</v>
      </c>
      <c r="B40" s="94" t="s">
        <v>393</v>
      </c>
      <c r="C40" s="141" t="s">
        <v>394</v>
      </c>
      <c r="D40" s="137">
        <v>1</v>
      </c>
      <c r="E40" s="138" t="s">
        <v>395</v>
      </c>
      <c r="F40" s="139">
        <v>22000</v>
      </c>
      <c r="G40" s="100">
        <v>0</v>
      </c>
      <c r="H40" s="139">
        <f t="shared" si="5"/>
        <v>22000</v>
      </c>
      <c r="I40" s="98">
        <v>11000</v>
      </c>
      <c r="J40" s="130">
        <f t="shared" si="8"/>
        <v>-11000</v>
      </c>
      <c r="K40" s="100">
        <v>0</v>
      </c>
      <c r="L40" s="100">
        <f t="shared" si="9"/>
        <v>0</v>
      </c>
      <c r="M40" s="98">
        <f t="shared" si="3"/>
        <v>11000</v>
      </c>
      <c r="N40" s="131" t="s">
        <v>466</v>
      </c>
      <c r="O40" s="140">
        <v>93</v>
      </c>
    </row>
    <row r="41" spans="1:15" ht="36" x14ac:dyDescent="0.8">
      <c r="A41" s="796"/>
      <c r="B41" s="94" t="s">
        <v>387</v>
      </c>
      <c r="C41" s="141" t="s">
        <v>388</v>
      </c>
      <c r="D41" s="137" t="s">
        <v>389</v>
      </c>
      <c r="E41" s="142" t="s">
        <v>390</v>
      </c>
      <c r="F41" s="139">
        <v>23000</v>
      </c>
      <c r="G41" s="100">
        <v>0</v>
      </c>
      <c r="H41" s="139">
        <f t="shared" si="5"/>
        <v>23000</v>
      </c>
      <c r="I41" s="98">
        <v>23000</v>
      </c>
      <c r="J41" s="99">
        <f t="shared" si="8"/>
        <v>0</v>
      </c>
      <c r="K41" s="100">
        <v>0</v>
      </c>
      <c r="L41" s="100">
        <f t="shared" si="9"/>
        <v>0</v>
      </c>
      <c r="M41" s="98">
        <f t="shared" si="3"/>
        <v>23000</v>
      </c>
      <c r="N41" s="101"/>
      <c r="O41" s="140">
        <v>90</v>
      </c>
    </row>
    <row r="42" spans="1:15" ht="36" x14ac:dyDescent="0.8">
      <c r="A42" s="112" t="s">
        <v>397</v>
      </c>
      <c r="B42" s="94" t="s">
        <v>398</v>
      </c>
      <c r="C42" s="141" t="s">
        <v>217</v>
      </c>
      <c r="D42" s="137">
        <v>1</v>
      </c>
      <c r="E42" s="138" t="s">
        <v>390</v>
      </c>
      <c r="F42" s="139">
        <v>120000</v>
      </c>
      <c r="G42" s="100">
        <v>0</v>
      </c>
      <c r="H42" s="139">
        <f t="shared" si="5"/>
        <v>120000</v>
      </c>
      <c r="I42" s="98">
        <v>112000</v>
      </c>
      <c r="J42" s="130">
        <f t="shared" si="8"/>
        <v>-8000</v>
      </c>
      <c r="K42" s="100">
        <v>0</v>
      </c>
      <c r="L42" s="100">
        <f t="shared" si="9"/>
        <v>0</v>
      </c>
      <c r="M42" s="98">
        <f t="shared" si="3"/>
        <v>112000</v>
      </c>
      <c r="N42" s="131" t="s">
        <v>467</v>
      </c>
      <c r="O42" s="140">
        <v>99</v>
      </c>
    </row>
    <row r="43" spans="1:15" ht="36" x14ac:dyDescent="0.8">
      <c r="A43" s="797" t="s">
        <v>401</v>
      </c>
      <c r="B43" s="94" t="s">
        <v>402</v>
      </c>
      <c r="C43" s="141" t="s">
        <v>403</v>
      </c>
      <c r="D43" s="137">
        <v>1</v>
      </c>
      <c r="E43" s="138" t="s">
        <v>390</v>
      </c>
      <c r="F43" s="139">
        <v>310000</v>
      </c>
      <c r="G43" s="100">
        <v>0</v>
      </c>
      <c r="H43" s="139">
        <f t="shared" si="5"/>
        <v>310000</v>
      </c>
      <c r="I43" s="98">
        <v>310000</v>
      </c>
      <c r="J43" s="99">
        <f t="shared" si="8"/>
        <v>0</v>
      </c>
      <c r="K43" s="100">
        <v>0</v>
      </c>
      <c r="L43" s="100">
        <f t="shared" si="9"/>
        <v>0</v>
      </c>
      <c r="M43" s="98">
        <f t="shared" si="3"/>
        <v>310000</v>
      </c>
      <c r="N43" s="101"/>
      <c r="O43" s="61">
        <v>102</v>
      </c>
    </row>
    <row r="44" spans="1:15" x14ac:dyDescent="0.8">
      <c r="A44" s="798"/>
      <c r="B44" s="94" t="s">
        <v>405</v>
      </c>
      <c r="C44" s="141" t="s">
        <v>406</v>
      </c>
      <c r="D44" s="137">
        <v>7</v>
      </c>
      <c r="E44" s="138" t="s">
        <v>390</v>
      </c>
      <c r="F44" s="139">
        <v>56000</v>
      </c>
      <c r="G44" s="100">
        <v>0</v>
      </c>
      <c r="H44" s="139">
        <f t="shared" si="5"/>
        <v>56000</v>
      </c>
      <c r="I44" s="98">
        <v>56000</v>
      </c>
      <c r="J44" s="143">
        <f t="shared" si="8"/>
        <v>0</v>
      </c>
      <c r="K44" s="100">
        <v>0</v>
      </c>
      <c r="L44" s="100">
        <f t="shared" si="9"/>
        <v>0</v>
      </c>
      <c r="M44" s="98">
        <f t="shared" si="3"/>
        <v>56000</v>
      </c>
      <c r="N44" s="104"/>
    </row>
    <row r="45" spans="1:15" x14ac:dyDescent="0.8">
      <c r="A45" s="798"/>
      <c r="B45" s="94" t="s">
        <v>421</v>
      </c>
      <c r="C45" s="144" t="s">
        <v>169</v>
      </c>
      <c r="D45" s="137">
        <v>1</v>
      </c>
      <c r="E45" s="145" t="s">
        <v>422</v>
      </c>
      <c r="F45" s="146">
        <v>0</v>
      </c>
      <c r="G45" s="147">
        <v>0</v>
      </c>
      <c r="H45" s="146">
        <f t="shared" si="5"/>
        <v>0</v>
      </c>
      <c r="I45" s="148">
        <v>1765500</v>
      </c>
      <c r="J45" s="102">
        <f t="shared" si="8"/>
        <v>1765500</v>
      </c>
      <c r="K45" s="100">
        <v>0</v>
      </c>
      <c r="L45" s="100">
        <f t="shared" si="9"/>
        <v>0</v>
      </c>
      <c r="M45" s="148">
        <f t="shared" si="3"/>
        <v>1765500</v>
      </c>
      <c r="N45" s="799" t="s">
        <v>468</v>
      </c>
      <c r="O45" s="61">
        <v>106</v>
      </c>
    </row>
    <row r="46" spans="1:15" ht="36" customHeight="1" x14ac:dyDescent="0.8">
      <c r="A46" s="798"/>
      <c r="B46" s="94" t="s">
        <v>424</v>
      </c>
      <c r="C46" s="149" t="s">
        <v>425</v>
      </c>
      <c r="D46" s="137">
        <v>1</v>
      </c>
      <c r="E46" s="145" t="s">
        <v>422</v>
      </c>
      <c r="F46" s="150">
        <v>0</v>
      </c>
      <c r="G46" s="151">
        <v>0</v>
      </c>
      <c r="H46" s="150">
        <f t="shared" si="5"/>
        <v>0</v>
      </c>
      <c r="I46" s="102">
        <v>4651200</v>
      </c>
      <c r="J46" s="102">
        <f t="shared" si="8"/>
        <v>4651200</v>
      </c>
      <c r="K46" s="100">
        <v>0</v>
      </c>
      <c r="L46" s="100">
        <f t="shared" si="9"/>
        <v>0</v>
      </c>
      <c r="M46" s="102">
        <f t="shared" si="3"/>
        <v>4651200</v>
      </c>
      <c r="N46" s="800"/>
      <c r="O46" s="61">
        <v>116</v>
      </c>
    </row>
    <row r="47" spans="1:15" ht="37.5" customHeight="1" x14ac:dyDescent="0.8">
      <c r="A47" s="798"/>
      <c r="B47" s="94" t="s">
        <v>427</v>
      </c>
      <c r="C47" s="152" t="s">
        <v>428</v>
      </c>
      <c r="D47" s="137">
        <v>1</v>
      </c>
      <c r="E47" s="145" t="s">
        <v>422</v>
      </c>
      <c r="F47" s="153">
        <v>0</v>
      </c>
      <c r="G47" s="100">
        <v>0</v>
      </c>
      <c r="H47" s="153">
        <f t="shared" si="5"/>
        <v>0</v>
      </c>
      <c r="I47" s="102">
        <v>1190000</v>
      </c>
      <c r="J47" s="102">
        <f t="shared" si="8"/>
        <v>1190000</v>
      </c>
      <c r="K47" s="100">
        <v>0</v>
      </c>
      <c r="L47" s="100">
        <f t="shared" si="9"/>
        <v>0</v>
      </c>
      <c r="M47" s="102">
        <f t="shared" si="3"/>
        <v>1190000</v>
      </c>
      <c r="N47" s="801"/>
      <c r="O47" s="61">
        <v>118</v>
      </c>
    </row>
    <row r="48" spans="1:15" ht="36" x14ac:dyDescent="0.8">
      <c r="A48" s="798"/>
      <c r="B48" s="94" t="s">
        <v>408</v>
      </c>
      <c r="C48" s="154" t="s">
        <v>409</v>
      </c>
      <c r="D48" s="137">
        <v>10</v>
      </c>
      <c r="E48" s="155" t="s">
        <v>410</v>
      </c>
      <c r="F48" s="139">
        <v>1765500</v>
      </c>
      <c r="G48" s="100">
        <v>0</v>
      </c>
      <c r="H48" s="139">
        <f t="shared" si="5"/>
        <v>1765500</v>
      </c>
      <c r="I48" s="98">
        <v>1765500</v>
      </c>
      <c r="J48" s="143">
        <f t="shared" si="8"/>
        <v>0</v>
      </c>
      <c r="K48" s="100">
        <v>0</v>
      </c>
      <c r="L48" s="100">
        <f t="shared" si="9"/>
        <v>0</v>
      </c>
      <c r="M48" s="98">
        <f t="shared" si="3"/>
        <v>1765500</v>
      </c>
      <c r="N48" s="104"/>
    </row>
    <row r="49" spans="1:15" x14ac:dyDescent="0.8">
      <c r="A49" s="798"/>
      <c r="B49" s="94" t="s">
        <v>412</v>
      </c>
      <c r="C49" s="154" t="s">
        <v>413</v>
      </c>
      <c r="D49" s="137">
        <v>1</v>
      </c>
      <c r="E49" s="155" t="s">
        <v>410</v>
      </c>
      <c r="F49" s="156">
        <v>3902397</v>
      </c>
      <c r="G49" s="157">
        <v>0</v>
      </c>
      <c r="H49" s="156">
        <f t="shared" si="5"/>
        <v>3902397</v>
      </c>
      <c r="I49" s="98">
        <v>3902400</v>
      </c>
      <c r="J49" s="102">
        <f t="shared" si="8"/>
        <v>3</v>
      </c>
      <c r="K49" s="100">
        <v>0</v>
      </c>
      <c r="L49" s="100">
        <f t="shared" si="9"/>
        <v>0</v>
      </c>
      <c r="M49" s="98">
        <f t="shared" si="3"/>
        <v>3902400</v>
      </c>
      <c r="N49" s="104" t="s">
        <v>469</v>
      </c>
      <c r="O49" s="158">
        <v>122</v>
      </c>
    </row>
    <row r="50" spans="1:15" ht="36" x14ac:dyDescent="0.8">
      <c r="A50" s="798"/>
      <c r="B50" s="94" t="s">
        <v>416</v>
      </c>
      <c r="C50" s="154" t="s">
        <v>417</v>
      </c>
      <c r="D50" s="137">
        <v>8</v>
      </c>
      <c r="E50" s="155" t="s">
        <v>410</v>
      </c>
      <c r="F50" s="139">
        <v>1753730</v>
      </c>
      <c r="G50" s="100">
        <v>0</v>
      </c>
      <c r="H50" s="139">
        <f t="shared" si="5"/>
        <v>1753730</v>
      </c>
      <c r="I50" s="98">
        <v>1753800</v>
      </c>
      <c r="J50" s="102">
        <f t="shared" si="8"/>
        <v>70</v>
      </c>
      <c r="K50" s="100">
        <v>0</v>
      </c>
      <c r="L50" s="100" t="s">
        <v>470</v>
      </c>
      <c r="M50" s="98">
        <f t="shared" si="3"/>
        <v>1753800</v>
      </c>
      <c r="N50" s="104" t="s">
        <v>450</v>
      </c>
    </row>
    <row r="51" spans="1:15" ht="36" customHeight="1" x14ac:dyDescent="0.8">
      <c r="A51" s="798"/>
      <c r="B51" s="159" t="s">
        <v>419</v>
      </c>
      <c r="C51" s="160" t="s">
        <v>225</v>
      </c>
      <c r="D51" s="802">
        <v>1</v>
      </c>
      <c r="E51" s="804" t="s">
        <v>410</v>
      </c>
      <c r="F51" s="153">
        <v>0</v>
      </c>
      <c r="G51" s="100">
        <v>0</v>
      </c>
      <c r="H51" s="153">
        <f t="shared" si="5"/>
        <v>0</v>
      </c>
      <c r="I51" s="161">
        <v>13369200</v>
      </c>
      <c r="J51" s="161">
        <f t="shared" si="8"/>
        <v>13369200</v>
      </c>
      <c r="K51" s="100">
        <v>0</v>
      </c>
      <c r="L51" s="100">
        <f>K51-G51</f>
        <v>0</v>
      </c>
      <c r="M51" s="161">
        <f t="shared" si="3"/>
        <v>13369200</v>
      </c>
      <c r="N51" s="806" t="s">
        <v>471</v>
      </c>
      <c r="O51" s="61">
        <v>108</v>
      </c>
    </row>
    <row r="52" spans="1:15" ht="36" x14ac:dyDescent="0.8">
      <c r="A52" s="798"/>
      <c r="B52" s="159" t="s">
        <v>472</v>
      </c>
      <c r="C52" s="162" t="s">
        <v>225</v>
      </c>
      <c r="D52" s="803"/>
      <c r="E52" s="805"/>
      <c r="F52" s="139">
        <v>13369115</v>
      </c>
      <c r="G52" s="100">
        <v>0</v>
      </c>
      <c r="H52" s="139">
        <f t="shared" si="5"/>
        <v>13369115</v>
      </c>
      <c r="I52" s="163">
        <v>0</v>
      </c>
      <c r="J52" s="163">
        <v>0</v>
      </c>
      <c r="K52" s="164">
        <v>0</v>
      </c>
      <c r="L52" s="164">
        <f>K52-G52</f>
        <v>0</v>
      </c>
      <c r="M52" s="163">
        <f t="shared" si="3"/>
        <v>0</v>
      </c>
      <c r="N52" s="807"/>
      <c r="O52" s="61">
        <v>125</v>
      </c>
    </row>
    <row r="53" spans="1:15" ht="36" x14ac:dyDescent="0.8">
      <c r="A53" s="798"/>
      <c r="B53" s="94" t="s">
        <v>473</v>
      </c>
      <c r="C53" s="165" t="s">
        <v>474</v>
      </c>
      <c r="D53" s="166" t="s">
        <v>475</v>
      </c>
      <c r="E53" s="155" t="s">
        <v>410</v>
      </c>
      <c r="F53" s="139">
        <v>1784000</v>
      </c>
      <c r="G53" s="100">
        <v>0</v>
      </c>
      <c r="H53" s="139">
        <f t="shared" si="5"/>
        <v>1784000</v>
      </c>
      <c r="I53" s="163">
        <v>0</v>
      </c>
      <c r="J53" s="163">
        <f>I53-F53</f>
        <v>-1784000</v>
      </c>
      <c r="K53" s="164">
        <v>0</v>
      </c>
      <c r="L53" s="164">
        <f>K53-G53</f>
        <v>0</v>
      </c>
      <c r="M53" s="163">
        <f t="shared" si="3"/>
        <v>0</v>
      </c>
      <c r="N53" s="808" t="s">
        <v>476</v>
      </c>
      <c r="O53" s="61">
        <v>120</v>
      </c>
    </row>
    <row r="54" spans="1:15" ht="36" x14ac:dyDescent="0.8">
      <c r="A54" s="798"/>
      <c r="B54" s="94" t="s">
        <v>477</v>
      </c>
      <c r="C54" s="167" t="s">
        <v>478</v>
      </c>
      <c r="D54" s="166" t="s">
        <v>475</v>
      </c>
      <c r="E54" s="138" t="s">
        <v>376</v>
      </c>
      <c r="F54" s="139">
        <v>6400000</v>
      </c>
      <c r="G54" s="100">
        <v>0</v>
      </c>
      <c r="H54" s="139">
        <f t="shared" si="5"/>
        <v>6400000</v>
      </c>
      <c r="I54" s="163">
        <v>0</v>
      </c>
      <c r="J54" s="163">
        <f>I54-F54</f>
        <v>-6400000</v>
      </c>
      <c r="K54" s="164">
        <v>0</v>
      </c>
      <c r="L54" s="164">
        <f>K54-G54</f>
        <v>0</v>
      </c>
      <c r="M54" s="163">
        <f t="shared" si="3"/>
        <v>0</v>
      </c>
      <c r="N54" s="809"/>
      <c r="O54" s="61">
        <v>124</v>
      </c>
    </row>
    <row r="55" spans="1:15" ht="36" x14ac:dyDescent="0.8">
      <c r="A55" s="798"/>
      <c r="B55" s="94" t="s">
        <v>479</v>
      </c>
      <c r="C55" s="168" t="s">
        <v>480</v>
      </c>
      <c r="D55" s="166">
        <v>2</v>
      </c>
      <c r="E55" s="138" t="s">
        <v>390</v>
      </c>
      <c r="F55" s="139">
        <v>30000</v>
      </c>
      <c r="G55" s="100">
        <v>0</v>
      </c>
      <c r="H55" s="139">
        <f t="shared" si="5"/>
        <v>30000</v>
      </c>
      <c r="I55" s="163">
        <v>0</v>
      </c>
      <c r="J55" s="163">
        <f>I55-F55</f>
        <v>-30000</v>
      </c>
      <c r="K55" s="164">
        <v>0</v>
      </c>
      <c r="L55" s="164">
        <f>K55-G55</f>
        <v>0</v>
      </c>
      <c r="M55" s="163">
        <f t="shared" si="3"/>
        <v>0</v>
      </c>
      <c r="N55" s="169" t="s">
        <v>481</v>
      </c>
      <c r="O55" s="61">
        <v>104</v>
      </c>
    </row>
    <row r="56" spans="1:15" x14ac:dyDescent="0.8">
      <c r="A56" s="789" t="s">
        <v>482</v>
      </c>
      <c r="B56" s="790"/>
      <c r="C56" s="791"/>
      <c r="D56" s="170"/>
      <c r="E56" s="86"/>
      <c r="F56" s="89">
        <f t="shared" ref="F56:M56" si="10">SUM(F36,F11)</f>
        <v>109818164</v>
      </c>
      <c r="G56" s="92">
        <f t="shared" si="10"/>
        <v>111231035</v>
      </c>
      <c r="H56" s="89">
        <f t="shared" si="10"/>
        <v>221049199</v>
      </c>
      <c r="I56" s="91">
        <f t="shared" si="10"/>
        <v>110090100</v>
      </c>
      <c r="J56" s="171">
        <f t="shared" si="10"/>
        <v>13811051</v>
      </c>
      <c r="K56" s="90">
        <f t="shared" si="10"/>
        <v>65511900</v>
      </c>
      <c r="L56" s="172">
        <f t="shared" si="10"/>
        <v>-45696135</v>
      </c>
      <c r="M56" s="91">
        <f t="shared" si="10"/>
        <v>175602000</v>
      </c>
      <c r="N56" s="107"/>
    </row>
    <row r="57" spans="1:15" ht="9" customHeight="1" x14ac:dyDescent="0.8"/>
  </sheetData>
  <mergeCells count="62">
    <mergeCell ref="A1:D2"/>
    <mergeCell ref="H2:J2"/>
    <mergeCell ref="K2:N5"/>
    <mergeCell ref="A3:B3"/>
    <mergeCell ref="H3:J3"/>
    <mergeCell ref="A4:G4"/>
    <mergeCell ref="A5:G5"/>
    <mergeCell ref="B8:B10"/>
    <mergeCell ref="C8:C10"/>
    <mergeCell ref="D8:E10"/>
    <mergeCell ref="F8:H8"/>
    <mergeCell ref="I8:N8"/>
    <mergeCell ref="H9:H10"/>
    <mergeCell ref="I9:J9"/>
    <mergeCell ref="K9:L9"/>
    <mergeCell ref="M9:M10"/>
    <mergeCell ref="N9:N10"/>
    <mergeCell ref="A11:C11"/>
    <mergeCell ref="D11:E11"/>
    <mergeCell ref="A12:C12"/>
    <mergeCell ref="D12:E12"/>
    <mergeCell ref="A13:A14"/>
    <mergeCell ref="D13:E13"/>
    <mergeCell ref="D14:E14"/>
    <mergeCell ref="D15:E15"/>
    <mergeCell ref="D16:E16"/>
    <mergeCell ref="D17:E17"/>
    <mergeCell ref="D18:E18"/>
    <mergeCell ref="A19:C19"/>
    <mergeCell ref="D19:E19"/>
    <mergeCell ref="D20:E20"/>
    <mergeCell ref="A21:A22"/>
    <mergeCell ref="D21:E21"/>
    <mergeCell ref="D22:E22"/>
    <mergeCell ref="A23:A26"/>
    <mergeCell ref="B23:B26"/>
    <mergeCell ref="C23:C26"/>
    <mergeCell ref="D23:E23"/>
    <mergeCell ref="D24:E24"/>
    <mergeCell ref="D25:E25"/>
    <mergeCell ref="D35:E35"/>
    <mergeCell ref="D26:E26"/>
    <mergeCell ref="A27:A28"/>
    <mergeCell ref="D27:E27"/>
    <mergeCell ref="D28:E28"/>
    <mergeCell ref="D29:E29"/>
    <mergeCell ref="D30:E30"/>
    <mergeCell ref="D31:E31"/>
    <mergeCell ref="D32:E32"/>
    <mergeCell ref="A33:A34"/>
    <mergeCell ref="D33:E33"/>
    <mergeCell ref="D34:E34"/>
    <mergeCell ref="N45:N47"/>
    <mergeCell ref="D51:D52"/>
    <mergeCell ref="E51:E52"/>
    <mergeCell ref="N51:N52"/>
    <mergeCell ref="N53:N54"/>
    <mergeCell ref="A56:C56"/>
    <mergeCell ref="A36:C36"/>
    <mergeCell ref="A37:A38"/>
    <mergeCell ref="A40:A41"/>
    <mergeCell ref="A43:A55"/>
  </mergeCells>
  <pageMargins left="1" right="1" top="1" bottom="1" header="1" footer="1"/>
  <pageSetup orientation="portrait" horizontalDpi="0" verticalDpi="0"/>
  <headerFooter alignWithMargins="0">
    <oddFooter>&amp;L&amp;C&amp;R</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6DE8-C623-4374-A6B7-32C9045893C7}">
  <sheetPr>
    <tabColor theme="9" tint="0.39997558519241921"/>
    <outlinePr summaryBelow="0" summaryRight="0"/>
  </sheetPr>
  <dimension ref="A1:AF128"/>
  <sheetViews>
    <sheetView showGridLines="0" workbookViewId="0">
      <pane xSplit="3" ySplit="9" topLeftCell="G41" activePane="bottomRight" state="frozen"/>
      <selection pane="topRight" activeCell="D13" sqref="D13:E13"/>
      <selection pane="bottomLeft" activeCell="D13" sqref="D13:E13"/>
      <selection pane="bottomRight" activeCell="U26" sqref="U26"/>
    </sheetView>
  </sheetViews>
  <sheetFormatPr defaultRowHeight="12.75" outlineLevelRow="1" x14ac:dyDescent="0.35"/>
  <cols>
    <col min="1" max="1" width="13.0625" style="351" customWidth="1"/>
    <col min="2" max="2" width="10.75" style="351" customWidth="1"/>
    <col min="3" max="3" width="22.5" style="351" customWidth="1"/>
    <col min="4" max="4" width="12.5625" style="351" customWidth="1"/>
    <col min="5" max="5" width="11.25" style="351" customWidth="1"/>
    <col min="6" max="6" width="39.5625" style="351" customWidth="1"/>
    <col min="7" max="7" width="7.75" style="351" customWidth="1"/>
    <col min="8" max="8" width="10.8125" style="351" customWidth="1"/>
    <col min="9" max="9" width="8.25" style="351" customWidth="1"/>
    <col min="10" max="10" width="10.5" style="351" customWidth="1"/>
    <col min="11" max="11" width="7.5625" style="351" hidden="1" customWidth="1"/>
    <col min="12" max="12" width="11.25" style="351" hidden="1" customWidth="1"/>
    <col min="13" max="13" width="8.3125" style="351" hidden="1" customWidth="1"/>
    <col min="14" max="14" width="12.8125" style="351" hidden="1" customWidth="1"/>
    <col min="15" max="15" width="8.3125" style="351" hidden="1" customWidth="1"/>
    <col min="16" max="16" width="13.0625" style="351" hidden="1" customWidth="1"/>
    <col min="17" max="17" width="8.5" style="351" hidden="1" customWidth="1"/>
    <col min="18" max="18" width="14.0625" style="351" hidden="1" customWidth="1"/>
    <col min="19" max="19" width="27.75" style="351" customWidth="1"/>
    <col min="20" max="20" width="7.5625" style="351" customWidth="1"/>
    <col min="21" max="21" width="11.8125" style="351" customWidth="1"/>
    <col min="22" max="22" width="8.0625" style="351" customWidth="1"/>
    <col min="23" max="23" width="12.5625" style="351" customWidth="1"/>
    <col min="24" max="24" width="8.0625" style="351" customWidth="1"/>
    <col min="25" max="25" width="12.5625" style="351" customWidth="1"/>
    <col min="26" max="26" width="10.5" style="351" customWidth="1"/>
    <col min="27" max="27" width="12.5625" style="351" customWidth="1"/>
    <col min="28" max="28" width="9.0625" style="351" customWidth="1"/>
    <col min="29" max="29" width="12.5625" style="351" customWidth="1"/>
    <col min="30" max="30" width="8.8125" style="351" customWidth="1"/>
    <col min="31" max="31" width="11.75" style="351" customWidth="1"/>
    <col min="32" max="32" width="33.75" style="351" customWidth="1"/>
    <col min="33" max="33" width="0" style="351" hidden="1" customWidth="1"/>
    <col min="34" max="34" width="83.0625" style="351" customWidth="1"/>
    <col min="35" max="256" width="8.5625" style="351"/>
    <col min="257" max="257" width="13.0625" style="351" customWidth="1"/>
    <col min="258" max="258" width="10.75" style="351" customWidth="1"/>
    <col min="259" max="259" width="22.5" style="351" customWidth="1"/>
    <col min="260" max="260" width="12.5625" style="351" customWidth="1"/>
    <col min="261" max="261" width="11.25" style="351" customWidth="1"/>
    <col min="262" max="262" width="39.5625" style="351" customWidth="1"/>
    <col min="263" max="263" width="7.75" style="351" customWidth="1"/>
    <col min="264" max="264" width="10.8125" style="351" customWidth="1"/>
    <col min="265" max="265" width="8.25" style="351" customWidth="1"/>
    <col min="266" max="266" width="10.5" style="351" customWidth="1"/>
    <col min="267" max="274" width="0" style="351" hidden="1" customWidth="1"/>
    <col min="275" max="275" width="27.75" style="351" customWidth="1"/>
    <col min="276" max="276" width="7.5625" style="351" customWidth="1"/>
    <col min="277" max="277" width="11.8125" style="351" customWidth="1"/>
    <col min="278" max="278" width="8.0625" style="351" customWidth="1"/>
    <col min="279" max="279" width="12.5625" style="351" customWidth="1"/>
    <col min="280" max="280" width="8.0625" style="351" customWidth="1"/>
    <col min="281" max="281" width="12.5625" style="351" customWidth="1"/>
    <col min="282" max="282" width="10.5" style="351" customWidth="1"/>
    <col min="283" max="283" width="12.5625" style="351" customWidth="1"/>
    <col min="284" max="284" width="9.0625" style="351" customWidth="1"/>
    <col min="285" max="285" width="12.5625" style="351" customWidth="1"/>
    <col min="286" max="286" width="8.8125" style="351" customWidth="1"/>
    <col min="287" max="287" width="11.75" style="351" customWidth="1"/>
    <col min="288" max="288" width="33.75" style="351" customWidth="1"/>
    <col min="289" max="289" width="0" style="351" hidden="1" customWidth="1"/>
    <col min="290" max="290" width="83.0625" style="351" customWidth="1"/>
    <col min="291" max="512" width="8.5625" style="351"/>
    <col min="513" max="513" width="13.0625" style="351" customWidth="1"/>
    <col min="514" max="514" width="10.75" style="351" customWidth="1"/>
    <col min="515" max="515" width="22.5" style="351" customWidth="1"/>
    <col min="516" max="516" width="12.5625" style="351" customWidth="1"/>
    <col min="517" max="517" width="11.25" style="351" customWidth="1"/>
    <col min="518" max="518" width="39.5625" style="351" customWidth="1"/>
    <col min="519" max="519" width="7.75" style="351" customWidth="1"/>
    <col min="520" max="520" width="10.8125" style="351" customWidth="1"/>
    <col min="521" max="521" width="8.25" style="351" customWidth="1"/>
    <col min="522" max="522" width="10.5" style="351" customWidth="1"/>
    <col min="523" max="530" width="0" style="351" hidden="1" customWidth="1"/>
    <col min="531" max="531" width="27.75" style="351" customWidth="1"/>
    <col min="532" max="532" width="7.5625" style="351" customWidth="1"/>
    <col min="533" max="533" width="11.8125" style="351" customWidth="1"/>
    <col min="534" max="534" width="8.0625" style="351" customWidth="1"/>
    <col min="535" max="535" width="12.5625" style="351" customWidth="1"/>
    <col min="536" max="536" width="8.0625" style="351" customWidth="1"/>
    <col min="537" max="537" width="12.5625" style="351" customWidth="1"/>
    <col min="538" max="538" width="10.5" style="351" customWidth="1"/>
    <col min="539" max="539" width="12.5625" style="351" customWidth="1"/>
    <col min="540" max="540" width="9.0625" style="351" customWidth="1"/>
    <col min="541" max="541" width="12.5625" style="351" customWidth="1"/>
    <col min="542" max="542" width="8.8125" style="351" customWidth="1"/>
    <col min="543" max="543" width="11.75" style="351" customWidth="1"/>
    <col min="544" max="544" width="33.75" style="351" customWidth="1"/>
    <col min="545" max="545" width="0" style="351" hidden="1" customWidth="1"/>
    <col min="546" max="546" width="83.0625" style="351" customWidth="1"/>
    <col min="547" max="768" width="8.5625" style="351"/>
    <col min="769" max="769" width="13.0625" style="351" customWidth="1"/>
    <col min="770" max="770" width="10.75" style="351" customWidth="1"/>
    <col min="771" max="771" width="22.5" style="351" customWidth="1"/>
    <col min="772" max="772" width="12.5625" style="351" customWidth="1"/>
    <col min="773" max="773" width="11.25" style="351" customWidth="1"/>
    <col min="774" max="774" width="39.5625" style="351" customWidth="1"/>
    <col min="775" max="775" width="7.75" style="351" customWidth="1"/>
    <col min="776" max="776" width="10.8125" style="351" customWidth="1"/>
    <col min="777" max="777" width="8.25" style="351" customWidth="1"/>
    <col min="778" max="778" width="10.5" style="351" customWidth="1"/>
    <col min="779" max="786" width="0" style="351" hidden="1" customWidth="1"/>
    <col min="787" max="787" width="27.75" style="351" customWidth="1"/>
    <col min="788" max="788" width="7.5625" style="351" customWidth="1"/>
    <col min="789" max="789" width="11.8125" style="351" customWidth="1"/>
    <col min="790" max="790" width="8.0625" style="351" customWidth="1"/>
    <col min="791" max="791" width="12.5625" style="351" customWidth="1"/>
    <col min="792" max="792" width="8.0625" style="351" customWidth="1"/>
    <col min="793" max="793" width="12.5625" style="351" customWidth="1"/>
    <col min="794" max="794" width="10.5" style="351" customWidth="1"/>
    <col min="795" max="795" width="12.5625" style="351" customWidth="1"/>
    <col min="796" max="796" width="9.0625" style="351" customWidth="1"/>
    <col min="797" max="797" width="12.5625" style="351" customWidth="1"/>
    <col min="798" max="798" width="8.8125" style="351" customWidth="1"/>
    <col min="799" max="799" width="11.75" style="351" customWidth="1"/>
    <col min="800" max="800" width="33.75" style="351" customWidth="1"/>
    <col min="801" max="801" width="0" style="351" hidden="1" customWidth="1"/>
    <col min="802" max="802" width="83.0625" style="351" customWidth="1"/>
    <col min="803" max="1024" width="8.5625" style="351"/>
    <col min="1025" max="1025" width="13.0625" style="351" customWidth="1"/>
    <col min="1026" max="1026" width="10.75" style="351" customWidth="1"/>
    <col min="1027" max="1027" width="22.5" style="351" customWidth="1"/>
    <col min="1028" max="1028" width="12.5625" style="351" customWidth="1"/>
    <col min="1029" max="1029" width="11.25" style="351" customWidth="1"/>
    <col min="1030" max="1030" width="39.5625" style="351" customWidth="1"/>
    <col min="1031" max="1031" width="7.75" style="351" customWidth="1"/>
    <col min="1032" max="1032" width="10.8125" style="351" customWidth="1"/>
    <col min="1033" max="1033" width="8.25" style="351" customWidth="1"/>
    <col min="1034" max="1034" width="10.5" style="351" customWidth="1"/>
    <col min="1035" max="1042" width="0" style="351" hidden="1" customWidth="1"/>
    <col min="1043" max="1043" width="27.75" style="351" customWidth="1"/>
    <col min="1044" max="1044" width="7.5625" style="351" customWidth="1"/>
    <col min="1045" max="1045" width="11.8125" style="351" customWidth="1"/>
    <col min="1046" max="1046" width="8.0625" style="351" customWidth="1"/>
    <col min="1047" max="1047" width="12.5625" style="351" customWidth="1"/>
    <col min="1048" max="1048" width="8.0625" style="351" customWidth="1"/>
    <col min="1049" max="1049" width="12.5625" style="351" customWidth="1"/>
    <col min="1050" max="1050" width="10.5" style="351" customWidth="1"/>
    <col min="1051" max="1051" width="12.5625" style="351" customWidth="1"/>
    <col min="1052" max="1052" width="9.0625" style="351" customWidth="1"/>
    <col min="1053" max="1053" width="12.5625" style="351" customWidth="1"/>
    <col min="1054" max="1054" width="8.8125" style="351" customWidth="1"/>
    <col min="1055" max="1055" width="11.75" style="351" customWidth="1"/>
    <col min="1056" max="1056" width="33.75" style="351" customWidth="1"/>
    <col min="1057" max="1057" width="0" style="351" hidden="1" customWidth="1"/>
    <col min="1058" max="1058" width="83.0625" style="351" customWidth="1"/>
    <col min="1059" max="1280" width="8.5625" style="351"/>
    <col min="1281" max="1281" width="13.0625" style="351" customWidth="1"/>
    <col min="1282" max="1282" width="10.75" style="351" customWidth="1"/>
    <col min="1283" max="1283" width="22.5" style="351" customWidth="1"/>
    <col min="1284" max="1284" width="12.5625" style="351" customWidth="1"/>
    <col min="1285" max="1285" width="11.25" style="351" customWidth="1"/>
    <col min="1286" max="1286" width="39.5625" style="351" customWidth="1"/>
    <col min="1287" max="1287" width="7.75" style="351" customWidth="1"/>
    <col min="1288" max="1288" width="10.8125" style="351" customWidth="1"/>
    <col min="1289" max="1289" width="8.25" style="351" customWidth="1"/>
    <col min="1290" max="1290" width="10.5" style="351" customWidth="1"/>
    <col min="1291" max="1298" width="0" style="351" hidden="1" customWidth="1"/>
    <col min="1299" max="1299" width="27.75" style="351" customWidth="1"/>
    <col min="1300" max="1300" width="7.5625" style="351" customWidth="1"/>
    <col min="1301" max="1301" width="11.8125" style="351" customWidth="1"/>
    <col min="1302" max="1302" width="8.0625" style="351" customWidth="1"/>
    <col min="1303" max="1303" width="12.5625" style="351" customWidth="1"/>
    <col min="1304" max="1304" width="8.0625" style="351" customWidth="1"/>
    <col min="1305" max="1305" width="12.5625" style="351" customWidth="1"/>
    <col min="1306" max="1306" width="10.5" style="351" customWidth="1"/>
    <col min="1307" max="1307" width="12.5625" style="351" customWidth="1"/>
    <col min="1308" max="1308" width="9.0625" style="351" customWidth="1"/>
    <col min="1309" max="1309" width="12.5625" style="351" customWidth="1"/>
    <col min="1310" max="1310" width="8.8125" style="351" customWidth="1"/>
    <col min="1311" max="1311" width="11.75" style="351" customWidth="1"/>
    <col min="1312" max="1312" width="33.75" style="351" customWidth="1"/>
    <col min="1313" max="1313" width="0" style="351" hidden="1" customWidth="1"/>
    <col min="1314" max="1314" width="83.0625" style="351" customWidth="1"/>
    <col min="1315" max="1536" width="8.5625" style="351"/>
    <col min="1537" max="1537" width="13.0625" style="351" customWidth="1"/>
    <col min="1538" max="1538" width="10.75" style="351" customWidth="1"/>
    <col min="1539" max="1539" width="22.5" style="351" customWidth="1"/>
    <col min="1540" max="1540" width="12.5625" style="351" customWidth="1"/>
    <col min="1541" max="1541" width="11.25" style="351" customWidth="1"/>
    <col min="1542" max="1542" width="39.5625" style="351" customWidth="1"/>
    <col min="1543" max="1543" width="7.75" style="351" customWidth="1"/>
    <col min="1544" max="1544" width="10.8125" style="351" customWidth="1"/>
    <col min="1545" max="1545" width="8.25" style="351" customWidth="1"/>
    <col min="1546" max="1546" width="10.5" style="351" customWidth="1"/>
    <col min="1547" max="1554" width="0" style="351" hidden="1" customWidth="1"/>
    <col min="1555" max="1555" width="27.75" style="351" customWidth="1"/>
    <col min="1556" max="1556" width="7.5625" style="351" customWidth="1"/>
    <col min="1557" max="1557" width="11.8125" style="351" customWidth="1"/>
    <col min="1558" max="1558" width="8.0625" style="351" customWidth="1"/>
    <col min="1559" max="1559" width="12.5625" style="351" customWidth="1"/>
    <col min="1560" max="1560" width="8.0625" style="351" customWidth="1"/>
    <col min="1561" max="1561" width="12.5625" style="351" customWidth="1"/>
    <col min="1562" max="1562" width="10.5" style="351" customWidth="1"/>
    <col min="1563" max="1563" width="12.5625" style="351" customWidth="1"/>
    <col min="1564" max="1564" width="9.0625" style="351" customWidth="1"/>
    <col min="1565" max="1565" width="12.5625" style="351" customWidth="1"/>
    <col min="1566" max="1566" width="8.8125" style="351" customWidth="1"/>
    <col min="1567" max="1567" width="11.75" style="351" customWidth="1"/>
    <col min="1568" max="1568" width="33.75" style="351" customWidth="1"/>
    <col min="1569" max="1569" width="0" style="351" hidden="1" customWidth="1"/>
    <col min="1570" max="1570" width="83.0625" style="351" customWidth="1"/>
    <col min="1571" max="1792" width="8.5625" style="351"/>
    <col min="1793" max="1793" width="13.0625" style="351" customWidth="1"/>
    <col min="1794" max="1794" width="10.75" style="351" customWidth="1"/>
    <col min="1795" max="1795" width="22.5" style="351" customWidth="1"/>
    <col min="1796" max="1796" width="12.5625" style="351" customWidth="1"/>
    <col min="1797" max="1797" width="11.25" style="351" customWidth="1"/>
    <col min="1798" max="1798" width="39.5625" style="351" customWidth="1"/>
    <col min="1799" max="1799" width="7.75" style="351" customWidth="1"/>
    <col min="1800" max="1800" width="10.8125" style="351" customWidth="1"/>
    <col min="1801" max="1801" width="8.25" style="351" customWidth="1"/>
    <col min="1802" max="1802" width="10.5" style="351" customWidth="1"/>
    <col min="1803" max="1810" width="0" style="351" hidden="1" customWidth="1"/>
    <col min="1811" max="1811" width="27.75" style="351" customWidth="1"/>
    <col min="1812" max="1812" width="7.5625" style="351" customWidth="1"/>
    <col min="1813" max="1813" width="11.8125" style="351" customWidth="1"/>
    <col min="1814" max="1814" width="8.0625" style="351" customWidth="1"/>
    <col min="1815" max="1815" width="12.5625" style="351" customWidth="1"/>
    <col min="1816" max="1816" width="8.0625" style="351" customWidth="1"/>
    <col min="1817" max="1817" width="12.5625" style="351" customWidth="1"/>
    <col min="1818" max="1818" width="10.5" style="351" customWidth="1"/>
    <col min="1819" max="1819" width="12.5625" style="351" customWidth="1"/>
    <col min="1820" max="1820" width="9.0625" style="351" customWidth="1"/>
    <col min="1821" max="1821" width="12.5625" style="351" customWidth="1"/>
    <col min="1822" max="1822" width="8.8125" style="351" customWidth="1"/>
    <col min="1823" max="1823" width="11.75" style="351" customWidth="1"/>
    <col min="1824" max="1824" width="33.75" style="351" customWidth="1"/>
    <col min="1825" max="1825" width="0" style="351" hidden="1" customWidth="1"/>
    <col min="1826" max="1826" width="83.0625" style="351" customWidth="1"/>
    <col min="1827" max="2048" width="8.5625" style="351"/>
    <col min="2049" max="2049" width="13.0625" style="351" customWidth="1"/>
    <col min="2050" max="2050" width="10.75" style="351" customWidth="1"/>
    <col min="2051" max="2051" width="22.5" style="351" customWidth="1"/>
    <col min="2052" max="2052" width="12.5625" style="351" customWidth="1"/>
    <col min="2053" max="2053" width="11.25" style="351" customWidth="1"/>
    <col min="2054" max="2054" width="39.5625" style="351" customWidth="1"/>
    <col min="2055" max="2055" width="7.75" style="351" customWidth="1"/>
    <col min="2056" max="2056" width="10.8125" style="351" customWidth="1"/>
    <col min="2057" max="2057" width="8.25" style="351" customWidth="1"/>
    <col min="2058" max="2058" width="10.5" style="351" customWidth="1"/>
    <col min="2059" max="2066" width="0" style="351" hidden="1" customWidth="1"/>
    <col min="2067" max="2067" width="27.75" style="351" customWidth="1"/>
    <col min="2068" max="2068" width="7.5625" style="351" customWidth="1"/>
    <col min="2069" max="2069" width="11.8125" style="351" customWidth="1"/>
    <col min="2070" max="2070" width="8.0625" style="351" customWidth="1"/>
    <col min="2071" max="2071" width="12.5625" style="351" customWidth="1"/>
    <col min="2072" max="2072" width="8.0625" style="351" customWidth="1"/>
    <col min="2073" max="2073" width="12.5625" style="351" customWidth="1"/>
    <col min="2074" max="2074" width="10.5" style="351" customWidth="1"/>
    <col min="2075" max="2075" width="12.5625" style="351" customWidth="1"/>
    <col min="2076" max="2076" width="9.0625" style="351" customWidth="1"/>
    <col min="2077" max="2077" width="12.5625" style="351" customWidth="1"/>
    <col min="2078" max="2078" width="8.8125" style="351" customWidth="1"/>
    <col min="2079" max="2079" width="11.75" style="351" customWidth="1"/>
    <col min="2080" max="2080" width="33.75" style="351" customWidth="1"/>
    <col min="2081" max="2081" width="0" style="351" hidden="1" customWidth="1"/>
    <col min="2082" max="2082" width="83.0625" style="351" customWidth="1"/>
    <col min="2083" max="2304" width="8.5625" style="351"/>
    <col min="2305" max="2305" width="13.0625" style="351" customWidth="1"/>
    <col min="2306" max="2306" width="10.75" style="351" customWidth="1"/>
    <col min="2307" max="2307" width="22.5" style="351" customWidth="1"/>
    <col min="2308" max="2308" width="12.5625" style="351" customWidth="1"/>
    <col min="2309" max="2309" width="11.25" style="351" customWidth="1"/>
    <col min="2310" max="2310" width="39.5625" style="351" customWidth="1"/>
    <col min="2311" max="2311" width="7.75" style="351" customWidth="1"/>
    <col min="2312" max="2312" width="10.8125" style="351" customWidth="1"/>
    <col min="2313" max="2313" width="8.25" style="351" customWidth="1"/>
    <col min="2314" max="2314" width="10.5" style="351" customWidth="1"/>
    <col min="2315" max="2322" width="0" style="351" hidden="1" customWidth="1"/>
    <col min="2323" max="2323" width="27.75" style="351" customWidth="1"/>
    <col min="2324" max="2324" width="7.5625" style="351" customWidth="1"/>
    <col min="2325" max="2325" width="11.8125" style="351" customWidth="1"/>
    <col min="2326" max="2326" width="8.0625" style="351" customWidth="1"/>
    <col min="2327" max="2327" width="12.5625" style="351" customWidth="1"/>
    <col min="2328" max="2328" width="8.0625" style="351" customWidth="1"/>
    <col min="2329" max="2329" width="12.5625" style="351" customWidth="1"/>
    <col min="2330" max="2330" width="10.5" style="351" customWidth="1"/>
    <col min="2331" max="2331" width="12.5625" style="351" customWidth="1"/>
    <col min="2332" max="2332" width="9.0625" style="351" customWidth="1"/>
    <col min="2333" max="2333" width="12.5625" style="351" customWidth="1"/>
    <col min="2334" max="2334" width="8.8125" style="351" customWidth="1"/>
    <col min="2335" max="2335" width="11.75" style="351" customWidth="1"/>
    <col min="2336" max="2336" width="33.75" style="351" customWidth="1"/>
    <col min="2337" max="2337" width="0" style="351" hidden="1" customWidth="1"/>
    <col min="2338" max="2338" width="83.0625" style="351" customWidth="1"/>
    <col min="2339" max="2560" width="8.5625" style="351"/>
    <col min="2561" max="2561" width="13.0625" style="351" customWidth="1"/>
    <col min="2562" max="2562" width="10.75" style="351" customWidth="1"/>
    <col min="2563" max="2563" width="22.5" style="351" customWidth="1"/>
    <col min="2564" max="2564" width="12.5625" style="351" customWidth="1"/>
    <col min="2565" max="2565" width="11.25" style="351" customWidth="1"/>
    <col min="2566" max="2566" width="39.5625" style="351" customWidth="1"/>
    <col min="2567" max="2567" width="7.75" style="351" customWidth="1"/>
    <col min="2568" max="2568" width="10.8125" style="351" customWidth="1"/>
    <col min="2569" max="2569" width="8.25" style="351" customWidth="1"/>
    <col min="2570" max="2570" width="10.5" style="351" customWidth="1"/>
    <col min="2571" max="2578" width="0" style="351" hidden="1" customWidth="1"/>
    <col min="2579" max="2579" width="27.75" style="351" customWidth="1"/>
    <col min="2580" max="2580" width="7.5625" style="351" customWidth="1"/>
    <col min="2581" max="2581" width="11.8125" style="351" customWidth="1"/>
    <col min="2582" max="2582" width="8.0625" style="351" customWidth="1"/>
    <col min="2583" max="2583" width="12.5625" style="351" customWidth="1"/>
    <col min="2584" max="2584" width="8.0625" style="351" customWidth="1"/>
    <col min="2585" max="2585" width="12.5625" style="351" customWidth="1"/>
    <col min="2586" max="2586" width="10.5" style="351" customWidth="1"/>
    <col min="2587" max="2587" width="12.5625" style="351" customWidth="1"/>
    <col min="2588" max="2588" width="9.0625" style="351" customWidth="1"/>
    <col min="2589" max="2589" width="12.5625" style="351" customWidth="1"/>
    <col min="2590" max="2590" width="8.8125" style="351" customWidth="1"/>
    <col min="2591" max="2591" width="11.75" style="351" customWidth="1"/>
    <col min="2592" max="2592" width="33.75" style="351" customWidth="1"/>
    <col min="2593" max="2593" width="0" style="351" hidden="1" customWidth="1"/>
    <col min="2594" max="2594" width="83.0625" style="351" customWidth="1"/>
    <col min="2595" max="2816" width="8.5625" style="351"/>
    <col min="2817" max="2817" width="13.0625" style="351" customWidth="1"/>
    <col min="2818" max="2818" width="10.75" style="351" customWidth="1"/>
    <col min="2819" max="2819" width="22.5" style="351" customWidth="1"/>
    <col min="2820" max="2820" width="12.5625" style="351" customWidth="1"/>
    <col min="2821" max="2821" width="11.25" style="351" customWidth="1"/>
    <col min="2822" max="2822" width="39.5625" style="351" customWidth="1"/>
    <col min="2823" max="2823" width="7.75" style="351" customWidth="1"/>
    <col min="2824" max="2824" width="10.8125" style="351" customWidth="1"/>
    <col min="2825" max="2825" width="8.25" style="351" customWidth="1"/>
    <col min="2826" max="2826" width="10.5" style="351" customWidth="1"/>
    <col min="2827" max="2834" width="0" style="351" hidden="1" customWidth="1"/>
    <col min="2835" max="2835" width="27.75" style="351" customWidth="1"/>
    <col min="2836" max="2836" width="7.5625" style="351" customWidth="1"/>
    <col min="2837" max="2837" width="11.8125" style="351" customWidth="1"/>
    <col min="2838" max="2838" width="8.0625" style="351" customWidth="1"/>
    <col min="2839" max="2839" width="12.5625" style="351" customWidth="1"/>
    <col min="2840" max="2840" width="8.0625" style="351" customWidth="1"/>
    <col min="2841" max="2841" width="12.5625" style="351" customWidth="1"/>
    <col min="2842" max="2842" width="10.5" style="351" customWidth="1"/>
    <col min="2843" max="2843" width="12.5625" style="351" customWidth="1"/>
    <col min="2844" max="2844" width="9.0625" style="351" customWidth="1"/>
    <col min="2845" max="2845" width="12.5625" style="351" customWidth="1"/>
    <col min="2846" max="2846" width="8.8125" style="351" customWidth="1"/>
    <col min="2847" max="2847" width="11.75" style="351" customWidth="1"/>
    <col min="2848" max="2848" width="33.75" style="351" customWidth="1"/>
    <col min="2849" max="2849" width="0" style="351" hidden="1" customWidth="1"/>
    <col min="2850" max="2850" width="83.0625" style="351" customWidth="1"/>
    <col min="2851" max="3072" width="8.5625" style="351"/>
    <col min="3073" max="3073" width="13.0625" style="351" customWidth="1"/>
    <col min="3074" max="3074" width="10.75" style="351" customWidth="1"/>
    <col min="3075" max="3075" width="22.5" style="351" customWidth="1"/>
    <col min="3076" max="3076" width="12.5625" style="351" customWidth="1"/>
    <col min="3077" max="3077" width="11.25" style="351" customWidth="1"/>
    <col min="3078" max="3078" width="39.5625" style="351" customWidth="1"/>
    <col min="3079" max="3079" width="7.75" style="351" customWidth="1"/>
    <col min="3080" max="3080" width="10.8125" style="351" customWidth="1"/>
    <col min="3081" max="3081" width="8.25" style="351" customWidth="1"/>
    <col min="3082" max="3082" width="10.5" style="351" customWidth="1"/>
    <col min="3083" max="3090" width="0" style="351" hidden="1" customWidth="1"/>
    <col min="3091" max="3091" width="27.75" style="351" customWidth="1"/>
    <col min="3092" max="3092" width="7.5625" style="351" customWidth="1"/>
    <col min="3093" max="3093" width="11.8125" style="351" customWidth="1"/>
    <col min="3094" max="3094" width="8.0625" style="351" customWidth="1"/>
    <col min="3095" max="3095" width="12.5625" style="351" customWidth="1"/>
    <col min="3096" max="3096" width="8.0625" style="351" customWidth="1"/>
    <col min="3097" max="3097" width="12.5625" style="351" customWidth="1"/>
    <col min="3098" max="3098" width="10.5" style="351" customWidth="1"/>
    <col min="3099" max="3099" width="12.5625" style="351" customWidth="1"/>
    <col min="3100" max="3100" width="9.0625" style="351" customWidth="1"/>
    <col min="3101" max="3101" width="12.5625" style="351" customWidth="1"/>
    <col min="3102" max="3102" width="8.8125" style="351" customWidth="1"/>
    <col min="3103" max="3103" width="11.75" style="351" customWidth="1"/>
    <col min="3104" max="3104" width="33.75" style="351" customWidth="1"/>
    <col min="3105" max="3105" width="0" style="351" hidden="1" customWidth="1"/>
    <col min="3106" max="3106" width="83.0625" style="351" customWidth="1"/>
    <col min="3107" max="3328" width="8.5625" style="351"/>
    <col min="3329" max="3329" width="13.0625" style="351" customWidth="1"/>
    <col min="3330" max="3330" width="10.75" style="351" customWidth="1"/>
    <col min="3331" max="3331" width="22.5" style="351" customWidth="1"/>
    <col min="3332" max="3332" width="12.5625" style="351" customWidth="1"/>
    <col min="3333" max="3333" width="11.25" style="351" customWidth="1"/>
    <col min="3334" max="3334" width="39.5625" style="351" customWidth="1"/>
    <col min="3335" max="3335" width="7.75" style="351" customWidth="1"/>
    <col min="3336" max="3336" width="10.8125" style="351" customWidth="1"/>
    <col min="3337" max="3337" width="8.25" style="351" customWidth="1"/>
    <col min="3338" max="3338" width="10.5" style="351" customWidth="1"/>
    <col min="3339" max="3346" width="0" style="351" hidden="1" customWidth="1"/>
    <col min="3347" max="3347" width="27.75" style="351" customWidth="1"/>
    <col min="3348" max="3348" width="7.5625" style="351" customWidth="1"/>
    <col min="3349" max="3349" width="11.8125" style="351" customWidth="1"/>
    <col min="3350" max="3350" width="8.0625" style="351" customWidth="1"/>
    <col min="3351" max="3351" width="12.5625" style="351" customWidth="1"/>
    <col min="3352" max="3352" width="8.0625" style="351" customWidth="1"/>
    <col min="3353" max="3353" width="12.5625" style="351" customWidth="1"/>
    <col min="3354" max="3354" width="10.5" style="351" customWidth="1"/>
    <col min="3355" max="3355" width="12.5625" style="351" customWidth="1"/>
    <col min="3356" max="3356" width="9.0625" style="351" customWidth="1"/>
    <col min="3357" max="3357" width="12.5625" style="351" customWidth="1"/>
    <col min="3358" max="3358" width="8.8125" style="351" customWidth="1"/>
    <col min="3359" max="3359" width="11.75" style="351" customWidth="1"/>
    <col min="3360" max="3360" width="33.75" style="351" customWidth="1"/>
    <col min="3361" max="3361" width="0" style="351" hidden="1" customWidth="1"/>
    <col min="3362" max="3362" width="83.0625" style="351" customWidth="1"/>
    <col min="3363" max="3584" width="8.5625" style="351"/>
    <col min="3585" max="3585" width="13.0625" style="351" customWidth="1"/>
    <col min="3586" max="3586" width="10.75" style="351" customWidth="1"/>
    <col min="3587" max="3587" width="22.5" style="351" customWidth="1"/>
    <col min="3588" max="3588" width="12.5625" style="351" customWidth="1"/>
    <col min="3589" max="3589" width="11.25" style="351" customWidth="1"/>
    <col min="3590" max="3590" width="39.5625" style="351" customWidth="1"/>
    <col min="3591" max="3591" width="7.75" style="351" customWidth="1"/>
    <col min="3592" max="3592" width="10.8125" style="351" customWidth="1"/>
    <col min="3593" max="3593" width="8.25" style="351" customWidth="1"/>
    <col min="3594" max="3594" width="10.5" style="351" customWidth="1"/>
    <col min="3595" max="3602" width="0" style="351" hidden="1" customWidth="1"/>
    <col min="3603" max="3603" width="27.75" style="351" customWidth="1"/>
    <col min="3604" max="3604" width="7.5625" style="351" customWidth="1"/>
    <col min="3605" max="3605" width="11.8125" style="351" customWidth="1"/>
    <col min="3606" max="3606" width="8.0625" style="351" customWidth="1"/>
    <col min="3607" max="3607" width="12.5625" style="351" customWidth="1"/>
    <col min="3608" max="3608" width="8.0625" style="351" customWidth="1"/>
    <col min="3609" max="3609" width="12.5625" style="351" customWidth="1"/>
    <col min="3610" max="3610" width="10.5" style="351" customWidth="1"/>
    <col min="3611" max="3611" width="12.5625" style="351" customWidth="1"/>
    <col min="3612" max="3612" width="9.0625" style="351" customWidth="1"/>
    <col min="3613" max="3613" width="12.5625" style="351" customWidth="1"/>
    <col min="3614" max="3614" width="8.8125" style="351" customWidth="1"/>
    <col min="3615" max="3615" width="11.75" style="351" customWidth="1"/>
    <col min="3616" max="3616" width="33.75" style="351" customWidth="1"/>
    <col min="3617" max="3617" width="0" style="351" hidden="1" customWidth="1"/>
    <col min="3618" max="3618" width="83.0625" style="351" customWidth="1"/>
    <col min="3619" max="3840" width="8.5625" style="351"/>
    <col min="3841" max="3841" width="13.0625" style="351" customWidth="1"/>
    <col min="3842" max="3842" width="10.75" style="351" customWidth="1"/>
    <col min="3843" max="3843" width="22.5" style="351" customWidth="1"/>
    <col min="3844" max="3844" width="12.5625" style="351" customWidth="1"/>
    <col min="3845" max="3845" width="11.25" style="351" customWidth="1"/>
    <col min="3846" max="3846" width="39.5625" style="351" customWidth="1"/>
    <col min="3847" max="3847" width="7.75" style="351" customWidth="1"/>
    <col min="3848" max="3848" width="10.8125" style="351" customWidth="1"/>
    <col min="3849" max="3849" width="8.25" style="351" customWidth="1"/>
    <col min="3850" max="3850" width="10.5" style="351" customWidth="1"/>
    <col min="3851" max="3858" width="0" style="351" hidden="1" customWidth="1"/>
    <col min="3859" max="3859" width="27.75" style="351" customWidth="1"/>
    <col min="3860" max="3860" width="7.5625" style="351" customWidth="1"/>
    <col min="3861" max="3861" width="11.8125" style="351" customWidth="1"/>
    <col min="3862" max="3862" width="8.0625" style="351" customWidth="1"/>
    <col min="3863" max="3863" width="12.5625" style="351" customWidth="1"/>
    <col min="3864" max="3864" width="8.0625" style="351" customWidth="1"/>
    <col min="3865" max="3865" width="12.5625" style="351" customWidth="1"/>
    <col min="3866" max="3866" width="10.5" style="351" customWidth="1"/>
    <col min="3867" max="3867" width="12.5625" style="351" customWidth="1"/>
    <col min="3868" max="3868" width="9.0625" style="351" customWidth="1"/>
    <col min="3869" max="3869" width="12.5625" style="351" customWidth="1"/>
    <col min="3870" max="3870" width="8.8125" style="351" customWidth="1"/>
    <col min="3871" max="3871" width="11.75" style="351" customWidth="1"/>
    <col min="3872" max="3872" width="33.75" style="351" customWidth="1"/>
    <col min="3873" max="3873" width="0" style="351" hidden="1" customWidth="1"/>
    <col min="3874" max="3874" width="83.0625" style="351" customWidth="1"/>
    <col min="3875" max="4096" width="8.5625" style="351"/>
    <col min="4097" max="4097" width="13.0625" style="351" customWidth="1"/>
    <col min="4098" max="4098" width="10.75" style="351" customWidth="1"/>
    <col min="4099" max="4099" width="22.5" style="351" customWidth="1"/>
    <col min="4100" max="4100" width="12.5625" style="351" customWidth="1"/>
    <col min="4101" max="4101" width="11.25" style="351" customWidth="1"/>
    <col min="4102" max="4102" width="39.5625" style="351" customWidth="1"/>
    <col min="4103" max="4103" width="7.75" style="351" customWidth="1"/>
    <col min="4104" max="4104" width="10.8125" style="351" customWidth="1"/>
    <col min="4105" max="4105" width="8.25" style="351" customWidth="1"/>
    <col min="4106" max="4106" width="10.5" style="351" customWidth="1"/>
    <col min="4107" max="4114" width="0" style="351" hidden="1" customWidth="1"/>
    <col min="4115" max="4115" width="27.75" style="351" customWidth="1"/>
    <col min="4116" max="4116" width="7.5625" style="351" customWidth="1"/>
    <col min="4117" max="4117" width="11.8125" style="351" customWidth="1"/>
    <col min="4118" max="4118" width="8.0625" style="351" customWidth="1"/>
    <col min="4119" max="4119" width="12.5625" style="351" customWidth="1"/>
    <col min="4120" max="4120" width="8.0625" style="351" customWidth="1"/>
    <col min="4121" max="4121" width="12.5625" style="351" customWidth="1"/>
    <col min="4122" max="4122" width="10.5" style="351" customWidth="1"/>
    <col min="4123" max="4123" width="12.5625" style="351" customWidth="1"/>
    <col min="4124" max="4124" width="9.0625" style="351" customWidth="1"/>
    <col min="4125" max="4125" width="12.5625" style="351" customWidth="1"/>
    <col min="4126" max="4126" width="8.8125" style="351" customWidth="1"/>
    <col min="4127" max="4127" width="11.75" style="351" customWidth="1"/>
    <col min="4128" max="4128" width="33.75" style="351" customWidth="1"/>
    <col min="4129" max="4129" width="0" style="351" hidden="1" customWidth="1"/>
    <col min="4130" max="4130" width="83.0625" style="351" customWidth="1"/>
    <col min="4131" max="4352" width="8.5625" style="351"/>
    <col min="4353" max="4353" width="13.0625" style="351" customWidth="1"/>
    <col min="4354" max="4354" width="10.75" style="351" customWidth="1"/>
    <col min="4355" max="4355" width="22.5" style="351" customWidth="1"/>
    <col min="4356" max="4356" width="12.5625" style="351" customWidth="1"/>
    <col min="4357" max="4357" width="11.25" style="351" customWidth="1"/>
    <col min="4358" max="4358" width="39.5625" style="351" customWidth="1"/>
    <col min="4359" max="4359" width="7.75" style="351" customWidth="1"/>
    <col min="4360" max="4360" width="10.8125" style="351" customWidth="1"/>
    <col min="4361" max="4361" width="8.25" style="351" customWidth="1"/>
    <col min="4362" max="4362" width="10.5" style="351" customWidth="1"/>
    <col min="4363" max="4370" width="0" style="351" hidden="1" customWidth="1"/>
    <col min="4371" max="4371" width="27.75" style="351" customWidth="1"/>
    <col min="4372" max="4372" width="7.5625" style="351" customWidth="1"/>
    <col min="4373" max="4373" width="11.8125" style="351" customWidth="1"/>
    <col min="4374" max="4374" width="8.0625" style="351" customWidth="1"/>
    <col min="4375" max="4375" width="12.5625" style="351" customWidth="1"/>
    <col min="4376" max="4376" width="8.0625" style="351" customWidth="1"/>
    <col min="4377" max="4377" width="12.5625" style="351" customWidth="1"/>
    <col min="4378" max="4378" width="10.5" style="351" customWidth="1"/>
    <col min="4379" max="4379" width="12.5625" style="351" customWidth="1"/>
    <col min="4380" max="4380" width="9.0625" style="351" customWidth="1"/>
    <col min="4381" max="4381" width="12.5625" style="351" customWidth="1"/>
    <col min="4382" max="4382" width="8.8125" style="351" customWidth="1"/>
    <col min="4383" max="4383" width="11.75" style="351" customWidth="1"/>
    <col min="4384" max="4384" width="33.75" style="351" customWidth="1"/>
    <col min="4385" max="4385" width="0" style="351" hidden="1" customWidth="1"/>
    <col min="4386" max="4386" width="83.0625" style="351" customWidth="1"/>
    <col min="4387" max="4608" width="8.5625" style="351"/>
    <col min="4609" max="4609" width="13.0625" style="351" customWidth="1"/>
    <col min="4610" max="4610" width="10.75" style="351" customWidth="1"/>
    <col min="4611" max="4611" width="22.5" style="351" customWidth="1"/>
    <col min="4612" max="4612" width="12.5625" style="351" customWidth="1"/>
    <col min="4613" max="4613" width="11.25" style="351" customWidth="1"/>
    <col min="4614" max="4614" width="39.5625" style="351" customWidth="1"/>
    <col min="4615" max="4615" width="7.75" style="351" customWidth="1"/>
    <col min="4616" max="4616" width="10.8125" style="351" customWidth="1"/>
    <col min="4617" max="4617" width="8.25" style="351" customWidth="1"/>
    <col min="4618" max="4618" width="10.5" style="351" customWidth="1"/>
    <col min="4619" max="4626" width="0" style="351" hidden="1" customWidth="1"/>
    <col min="4627" max="4627" width="27.75" style="351" customWidth="1"/>
    <col min="4628" max="4628" width="7.5625" style="351" customWidth="1"/>
    <col min="4629" max="4629" width="11.8125" style="351" customWidth="1"/>
    <col min="4630" max="4630" width="8.0625" style="351" customWidth="1"/>
    <col min="4631" max="4631" width="12.5625" style="351" customWidth="1"/>
    <col min="4632" max="4632" width="8.0625" style="351" customWidth="1"/>
    <col min="4633" max="4633" width="12.5625" style="351" customWidth="1"/>
    <col min="4634" max="4634" width="10.5" style="351" customWidth="1"/>
    <col min="4635" max="4635" width="12.5625" style="351" customWidth="1"/>
    <col min="4636" max="4636" width="9.0625" style="351" customWidth="1"/>
    <col min="4637" max="4637" width="12.5625" style="351" customWidth="1"/>
    <col min="4638" max="4638" width="8.8125" style="351" customWidth="1"/>
    <col min="4639" max="4639" width="11.75" style="351" customWidth="1"/>
    <col min="4640" max="4640" width="33.75" style="351" customWidth="1"/>
    <col min="4641" max="4641" width="0" style="351" hidden="1" customWidth="1"/>
    <col min="4642" max="4642" width="83.0625" style="351" customWidth="1"/>
    <col min="4643" max="4864" width="8.5625" style="351"/>
    <col min="4865" max="4865" width="13.0625" style="351" customWidth="1"/>
    <col min="4866" max="4866" width="10.75" style="351" customWidth="1"/>
    <col min="4867" max="4867" width="22.5" style="351" customWidth="1"/>
    <col min="4868" max="4868" width="12.5625" style="351" customWidth="1"/>
    <col min="4869" max="4869" width="11.25" style="351" customWidth="1"/>
    <col min="4870" max="4870" width="39.5625" style="351" customWidth="1"/>
    <col min="4871" max="4871" width="7.75" style="351" customWidth="1"/>
    <col min="4872" max="4872" width="10.8125" style="351" customWidth="1"/>
    <col min="4873" max="4873" width="8.25" style="351" customWidth="1"/>
    <col min="4874" max="4874" width="10.5" style="351" customWidth="1"/>
    <col min="4875" max="4882" width="0" style="351" hidden="1" customWidth="1"/>
    <col min="4883" max="4883" width="27.75" style="351" customWidth="1"/>
    <col min="4884" max="4884" width="7.5625" style="351" customWidth="1"/>
    <col min="4885" max="4885" width="11.8125" style="351" customWidth="1"/>
    <col min="4886" max="4886" width="8.0625" style="351" customWidth="1"/>
    <col min="4887" max="4887" width="12.5625" style="351" customWidth="1"/>
    <col min="4888" max="4888" width="8.0625" style="351" customWidth="1"/>
    <col min="4889" max="4889" width="12.5625" style="351" customWidth="1"/>
    <col min="4890" max="4890" width="10.5" style="351" customWidth="1"/>
    <col min="4891" max="4891" width="12.5625" style="351" customWidth="1"/>
    <col min="4892" max="4892" width="9.0625" style="351" customWidth="1"/>
    <col min="4893" max="4893" width="12.5625" style="351" customWidth="1"/>
    <col min="4894" max="4894" width="8.8125" style="351" customWidth="1"/>
    <col min="4895" max="4895" width="11.75" style="351" customWidth="1"/>
    <col min="4896" max="4896" width="33.75" style="351" customWidth="1"/>
    <col min="4897" max="4897" width="0" style="351" hidden="1" customWidth="1"/>
    <col min="4898" max="4898" width="83.0625" style="351" customWidth="1"/>
    <col min="4899" max="5120" width="8.5625" style="351"/>
    <col min="5121" max="5121" width="13.0625" style="351" customWidth="1"/>
    <col min="5122" max="5122" width="10.75" style="351" customWidth="1"/>
    <col min="5123" max="5123" width="22.5" style="351" customWidth="1"/>
    <col min="5124" max="5124" width="12.5625" style="351" customWidth="1"/>
    <col min="5125" max="5125" width="11.25" style="351" customWidth="1"/>
    <col min="5126" max="5126" width="39.5625" style="351" customWidth="1"/>
    <col min="5127" max="5127" width="7.75" style="351" customWidth="1"/>
    <col min="5128" max="5128" width="10.8125" style="351" customWidth="1"/>
    <col min="5129" max="5129" width="8.25" style="351" customWidth="1"/>
    <col min="5130" max="5130" width="10.5" style="351" customWidth="1"/>
    <col min="5131" max="5138" width="0" style="351" hidden="1" customWidth="1"/>
    <col min="5139" max="5139" width="27.75" style="351" customWidth="1"/>
    <col min="5140" max="5140" width="7.5625" style="351" customWidth="1"/>
    <col min="5141" max="5141" width="11.8125" style="351" customWidth="1"/>
    <col min="5142" max="5142" width="8.0625" style="351" customWidth="1"/>
    <col min="5143" max="5143" width="12.5625" style="351" customWidth="1"/>
    <col min="5144" max="5144" width="8.0625" style="351" customWidth="1"/>
    <col min="5145" max="5145" width="12.5625" style="351" customWidth="1"/>
    <col min="5146" max="5146" width="10.5" style="351" customWidth="1"/>
    <col min="5147" max="5147" width="12.5625" style="351" customWidth="1"/>
    <col min="5148" max="5148" width="9.0625" style="351" customWidth="1"/>
    <col min="5149" max="5149" width="12.5625" style="351" customWidth="1"/>
    <col min="5150" max="5150" width="8.8125" style="351" customWidth="1"/>
    <col min="5151" max="5151" width="11.75" style="351" customWidth="1"/>
    <col min="5152" max="5152" width="33.75" style="351" customWidth="1"/>
    <col min="5153" max="5153" width="0" style="351" hidden="1" customWidth="1"/>
    <col min="5154" max="5154" width="83.0625" style="351" customWidth="1"/>
    <col min="5155" max="5376" width="8.5625" style="351"/>
    <col min="5377" max="5377" width="13.0625" style="351" customWidth="1"/>
    <col min="5378" max="5378" width="10.75" style="351" customWidth="1"/>
    <col min="5379" max="5379" width="22.5" style="351" customWidth="1"/>
    <col min="5380" max="5380" width="12.5625" style="351" customWidth="1"/>
    <col min="5381" max="5381" width="11.25" style="351" customWidth="1"/>
    <col min="5382" max="5382" width="39.5625" style="351" customWidth="1"/>
    <col min="5383" max="5383" width="7.75" style="351" customWidth="1"/>
    <col min="5384" max="5384" width="10.8125" style="351" customWidth="1"/>
    <col min="5385" max="5385" width="8.25" style="351" customWidth="1"/>
    <col min="5386" max="5386" width="10.5" style="351" customWidth="1"/>
    <col min="5387" max="5394" width="0" style="351" hidden="1" customWidth="1"/>
    <col min="5395" max="5395" width="27.75" style="351" customWidth="1"/>
    <col min="5396" max="5396" width="7.5625" style="351" customWidth="1"/>
    <col min="5397" max="5397" width="11.8125" style="351" customWidth="1"/>
    <col min="5398" max="5398" width="8.0625" style="351" customWidth="1"/>
    <col min="5399" max="5399" width="12.5625" style="351" customWidth="1"/>
    <col min="5400" max="5400" width="8.0625" style="351" customWidth="1"/>
    <col min="5401" max="5401" width="12.5625" style="351" customWidth="1"/>
    <col min="5402" max="5402" width="10.5" style="351" customWidth="1"/>
    <col min="5403" max="5403" width="12.5625" style="351" customWidth="1"/>
    <col min="5404" max="5404" width="9.0625" style="351" customWidth="1"/>
    <col min="5405" max="5405" width="12.5625" style="351" customWidth="1"/>
    <col min="5406" max="5406" width="8.8125" style="351" customWidth="1"/>
    <col min="5407" max="5407" width="11.75" style="351" customWidth="1"/>
    <col min="5408" max="5408" width="33.75" style="351" customWidth="1"/>
    <col min="5409" max="5409" width="0" style="351" hidden="1" customWidth="1"/>
    <col min="5410" max="5410" width="83.0625" style="351" customWidth="1"/>
    <col min="5411" max="5632" width="8.5625" style="351"/>
    <col min="5633" max="5633" width="13.0625" style="351" customWidth="1"/>
    <col min="5634" max="5634" width="10.75" style="351" customWidth="1"/>
    <col min="5635" max="5635" width="22.5" style="351" customWidth="1"/>
    <col min="5636" max="5636" width="12.5625" style="351" customWidth="1"/>
    <col min="5637" max="5637" width="11.25" style="351" customWidth="1"/>
    <col min="5638" max="5638" width="39.5625" style="351" customWidth="1"/>
    <col min="5639" max="5639" width="7.75" style="351" customWidth="1"/>
    <col min="5640" max="5640" width="10.8125" style="351" customWidth="1"/>
    <col min="5641" max="5641" width="8.25" style="351" customWidth="1"/>
    <col min="5642" max="5642" width="10.5" style="351" customWidth="1"/>
    <col min="5643" max="5650" width="0" style="351" hidden="1" customWidth="1"/>
    <col min="5651" max="5651" width="27.75" style="351" customWidth="1"/>
    <col min="5652" max="5652" width="7.5625" style="351" customWidth="1"/>
    <col min="5653" max="5653" width="11.8125" style="351" customWidth="1"/>
    <col min="5654" max="5654" width="8.0625" style="351" customWidth="1"/>
    <col min="5655" max="5655" width="12.5625" style="351" customWidth="1"/>
    <col min="5656" max="5656" width="8.0625" style="351" customWidth="1"/>
    <col min="5657" max="5657" width="12.5625" style="351" customWidth="1"/>
    <col min="5658" max="5658" width="10.5" style="351" customWidth="1"/>
    <col min="5659" max="5659" width="12.5625" style="351" customWidth="1"/>
    <col min="5660" max="5660" width="9.0625" style="351" customWidth="1"/>
    <col min="5661" max="5661" width="12.5625" style="351" customWidth="1"/>
    <col min="5662" max="5662" width="8.8125" style="351" customWidth="1"/>
    <col min="5663" max="5663" width="11.75" style="351" customWidth="1"/>
    <col min="5664" max="5664" width="33.75" style="351" customWidth="1"/>
    <col min="5665" max="5665" width="0" style="351" hidden="1" customWidth="1"/>
    <col min="5666" max="5666" width="83.0625" style="351" customWidth="1"/>
    <col min="5667" max="5888" width="8.5625" style="351"/>
    <col min="5889" max="5889" width="13.0625" style="351" customWidth="1"/>
    <col min="5890" max="5890" width="10.75" style="351" customWidth="1"/>
    <col min="5891" max="5891" width="22.5" style="351" customWidth="1"/>
    <col min="5892" max="5892" width="12.5625" style="351" customWidth="1"/>
    <col min="5893" max="5893" width="11.25" style="351" customWidth="1"/>
    <col min="5894" max="5894" width="39.5625" style="351" customWidth="1"/>
    <col min="5895" max="5895" width="7.75" style="351" customWidth="1"/>
    <col min="5896" max="5896" width="10.8125" style="351" customWidth="1"/>
    <col min="5897" max="5897" width="8.25" style="351" customWidth="1"/>
    <col min="5898" max="5898" width="10.5" style="351" customWidth="1"/>
    <col min="5899" max="5906" width="0" style="351" hidden="1" customWidth="1"/>
    <col min="5907" max="5907" width="27.75" style="351" customWidth="1"/>
    <col min="5908" max="5908" width="7.5625" style="351" customWidth="1"/>
    <col min="5909" max="5909" width="11.8125" style="351" customWidth="1"/>
    <col min="5910" max="5910" width="8.0625" style="351" customWidth="1"/>
    <col min="5911" max="5911" width="12.5625" style="351" customWidth="1"/>
    <col min="5912" max="5912" width="8.0625" style="351" customWidth="1"/>
    <col min="5913" max="5913" width="12.5625" style="351" customWidth="1"/>
    <col min="5914" max="5914" width="10.5" style="351" customWidth="1"/>
    <col min="5915" max="5915" width="12.5625" style="351" customWidth="1"/>
    <col min="5916" max="5916" width="9.0625" style="351" customWidth="1"/>
    <col min="5917" max="5917" width="12.5625" style="351" customWidth="1"/>
    <col min="5918" max="5918" width="8.8125" style="351" customWidth="1"/>
    <col min="5919" max="5919" width="11.75" style="351" customWidth="1"/>
    <col min="5920" max="5920" width="33.75" style="351" customWidth="1"/>
    <col min="5921" max="5921" width="0" style="351" hidden="1" customWidth="1"/>
    <col min="5922" max="5922" width="83.0625" style="351" customWidth="1"/>
    <col min="5923" max="6144" width="8.5625" style="351"/>
    <col min="6145" max="6145" width="13.0625" style="351" customWidth="1"/>
    <col min="6146" max="6146" width="10.75" style="351" customWidth="1"/>
    <col min="6147" max="6147" width="22.5" style="351" customWidth="1"/>
    <col min="6148" max="6148" width="12.5625" style="351" customWidth="1"/>
    <col min="6149" max="6149" width="11.25" style="351" customWidth="1"/>
    <col min="6150" max="6150" width="39.5625" style="351" customWidth="1"/>
    <col min="6151" max="6151" width="7.75" style="351" customWidth="1"/>
    <col min="6152" max="6152" width="10.8125" style="351" customWidth="1"/>
    <col min="6153" max="6153" width="8.25" style="351" customWidth="1"/>
    <col min="6154" max="6154" width="10.5" style="351" customWidth="1"/>
    <col min="6155" max="6162" width="0" style="351" hidden="1" customWidth="1"/>
    <col min="6163" max="6163" width="27.75" style="351" customWidth="1"/>
    <col min="6164" max="6164" width="7.5625" style="351" customWidth="1"/>
    <col min="6165" max="6165" width="11.8125" style="351" customWidth="1"/>
    <col min="6166" max="6166" width="8.0625" style="351" customWidth="1"/>
    <col min="6167" max="6167" width="12.5625" style="351" customWidth="1"/>
    <col min="6168" max="6168" width="8.0625" style="351" customWidth="1"/>
    <col min="6169" max="6169" width="12.5625" style="351" customWidth="1"/>
    <col min="6170" max="6170" width="10.5" style="351" customWidth="1"/>
    <col min="6171" max="6171" width="12.5625" style="351" customWidth="1"/>
    <col min="6172" max="6172" width="9.0625" style="351" customWidth="1"/>
    <col min="6173" max="6173" width="12.5625" style="351" customWidth="1"/>
    <col min="6174" max="6174" width="8.8125" style="351" customWidth="1"/>
    <col min="6175" max="6175" width="11.75" style="351" customWidth="1"/>
    <col min="6176" max="6176" width="33.75" style="351" customWidth="1"/>
    <col min="6177" max="6177" width="0" style="351" hidden="1" customWidth="1"/>
    <col min="6178" max="6178" width="83.0625" style="351" customWidth="1"/>
    <col min="6179" max="6400" width="8.5625" style="351"/>
    <col min="6401" max="6401" width="13.0625" style="351" customWidth="1"/>
    <col min="6402" max="6402" width="10.75" style="351" customWidth="1"/>
    <col min="6403" max="6403" width="22.5" style="351" customWidth="1"/>
    <col min="6404" max="6404" width="12.5625" style="351" customWidth="1"/>
    <col min="6405" max="6405" width="11.25" style="351" customWidth="1"/>
    <col min="6406" max="6406" width="39.5625" style="351" customWidth="1"/>
    <col min="6407" max="6407" width="7.75" style="351" customWidth="1"/>
    <col min="6408" max="6408" width="10.8125" style="351" customWidth="1"/>
    <col min="6409" max="6409" width="8.25" style="351" customWidth="1"/>
    <col min="6410" max="6410" width="10.5" style="351" customWidth="1"/>
    <col min="6411" max="6418" width="0" style="351" hidden="1" customWidth="1"/>
    <col min="6419" max="6419" width="27.75" style="351" customWidth="1"/>
    <col min="6420" max="6420" width="7.5625" style="351" customWidth="1"/>
    <col min="6421" max="6421" width="11.8125" style="351" customWidth="1"/>
    <col min="6422" max="6422" width="8.0625" style="351" customWidth="1"/>
    <col min="6423" max="6423" width="12.5625" style="351" customWidth="1"/>
    <col min="6424" max="6424" width="8.0625" style="351" customWidth="1"/>
    <col min="6425" max="6425" width="12.5625" style="351" customWidth="1"/>
    <col min="6426" max="6426" width="10.5" style="351" customWidth="1"/>
    <col min="6427" max="6427" width="12.5625" style="351" customWidth="1"/>
    <col min="6428" max="6428" width="9.0625" style="351" customWidth="1"/>
    <col min="6429" max="6429" width="12.5625" style="351" customWidth="1"/>
    <col min="6430" max="6430" width="8.8125" style="351" customWidth="1"/>
    <col min="6431" max="6431" width="11.75" style="351" customWidth="1"/>
    <col min="6432" max="6432" width="33.75" style="351" customWidth="1"/>
    <col min="6433" max="6433" width="0" style="351" hidden="1" customWidth="1"/>
    <col min="6434" max="6434" width="83.0625" style="351" customWidth="1"/>
    <col min="6435" max="6656" width="8.5625" style="351"/>
    <col min="6657" max="6657" width="13.0625" style="351" customWidth="1"/>
    <col min="6658" max="6658" width="10.75" style="351" customWidth="1"/>
    <col min="6659" max="6659" width="22.5" style="351" customWidth="1"/>
    <col min="6660" max="6660" width="12.5625" style="351" customWidth="1"/>
    <col min="6661" max="6661" width="11.25" style="351" customWidth="1"/>
    <col min="6662" max="6662" width="39.5625" style="351" customWidth="1"/>
    <col min="6663" max="6663" width="7.75" style="351" customWidth="1"/>
    <col min="6664" max="6664" width="10.8125" style="351" customWidth="1"/>
    <col min="6665" max="6665" width="8.25" style="351" customWidth="1"/>
    <col min="6666" max="6666" width="10.5" style="351" customWidth="1"/>
    <col min="6667" max="6674" width="0" style="351" hidden="1" customWidth="1"/>
    <col min="6675" max="6675" width="27.75" style="351" customWidth="1"/>
    <col min="6676" max="6676" width="7.5625" style="351" customWidth="1"/>
    <col min="6677" max="6677" width="11.8125" style="351" customWidth="1"/>
    <col min="6678" max="6678" width="8.0625" style="351" customWidth="1"/>
    <col min="6679" max="6679" width="12.5625" style="351" customWidth="1"/>
    <col min="6680" max="6680" width="8.0625" style="351" customWidth="1"/>
    <col min="6681" max="6681" width="12.5625" style="351" customWidth="1"/>
    <col min="6682" max="6682" width="10.5" style="351" customWidth="1"/>
    <col min="6683" max="6683" width="12.5625" style="351" customWidth="1"/>
    <col min="6684" max="6684" width="9.0625" style="351" customWidth="1"/>
    <col min="6685" max="6685" width="12.5625" style="351" customWidth="1"/>
    <col min="6686" max="6686" width="8.8125" style="351" customWidth="1"/>
    <col min="6687" max="6687" width="11.75" style="351" customWidth="1"/>
    <col min="6688" max="6688" width="33.75" style="351" customWidth="1"/>
    <col min="6689" max="6689" width="0" style="351" hidden="1" customWidth="1"/>
    <col min="6690" max="6690" width="83.0625" style="351" customWidth="1"/>
    <col min="6691" max="6912" width="8.5625" style="351"/>
    <col min="6913" max="6913" width="13.0625" style="351" customWidth="1"/>
    <col min="6914" max="6914" width="10.75" style="351" customWidth="1"/>
    <col min="6915" max="6915" width="22.5" style="351" customWidth="1"/>
    <col min="6916" max="6916" width="12.5625" style="351" customWidth="1"/>
    <col min="6917" max="6917" width="11.25" style="351" customWidth="1"/>
    <col min="6918" max="6918" width="39.5625" style="351" customWidth="1"/>
    <col min="6919" max="6919" width="7.75" style="351" customWidth="1"/>
    <col min="6920" max="6920" width="10.8125" style="351" customWidth="1"/>
    <col min="6921" max="6921" width="8.25" style="351" customWidth="1"/>
    <col min="6922" max="6922" width="10.5" style="351" customWidth="1"/>
    <col min="6923" max="6930" width="0" style="351" hidden="1" customWidth="1"/>
    <col min="6931" max="6931" width="27.75" style="351" customWidth="1"/>
    <col min="6932" max="6932" width="7.5625" style="351" customWidth="1"/>
    <col min="6933" max="6933" width="11.8125" style="351" customWidth="1"/>
    <col min="6934" max="6934" width="8.0625" style="351" customWidth="1"/>
    <col min="6935" max="6935" width="12.5625" style="351" customWidth="1"/>
    <col min="6936" max="6936" width="8.0625" style="351" customWidth="1"/>
    <col min="6937" max="6937" width="12.5625" style="351" customWidth="1"/>
    <col min="6938" max="6938" width="10.5" style="351" customWidth="1"/>
    <col min="6939" max="6939" width="12.5625" style="351" customWidth="1"/>
    <col min="6940" max="6940" width="9.0625" style="351" customWidth="1"/>
    <col min="6941" max="6941" width="12.5625" style="351" customWidth="1"/>
    <col min="6942" max="6942" width="8.8125" style="351" customWidth="1"/>
    <col min="6943" max="6943" width="11.75" style="351" customWidth="1"/>
    <col min="6944" max="6944" width="33.75" style="351" customWidth="1"/>
    <col min="6945" max="6945" width="0" style="351" hidden="1" customWidth="1"/>
    <col min="6946" max="6946" width="83.0625" style="351" customWidth="1"/>
    <col min="6947" max="7168" width="8.5625" style="351"/>
    <col min="7169" max="7169" width="13.0625" style="351" customWidth="1"/>
    <col min="7170" max="7170" width="10.75" style="351" customWidth="1"/>
    <col min="7171" max="7171" width="22.5" style="351" customWidth="1"/>
    <col min="7172" max="7172" width="12.5625" style="351" customWidth="1"/>
    <col min="7173" max="7173" width="11.25" style="351" customWidth="1"/>
    <col min="7174" max="7174" width="39.5625" style="351" customWidth="1"/>
    <col min="7175" max="7175" width="7.75" style="351" customWidth="1"/>
    <col min="7176" max="7176" width="10.8125" style="351" customWidth="1"/>
    <col min="7177" max="7177" width="8.25" style="351" customWidth="1"/>
    <col min="7178" max="7178" width="10.5" style="351" customWidth="1"/>
    <col min="7179" max="7186" width="0" style="351" hidden="1" customWidth="1"/>
    <col min="7187" max="7187" width="27.75" style="351" customWidth="1"/>
    <col min="7188" max="7188" width="7.5625" style="351" customWidth="1"/>
    <col min="7189" max="7189" width="11.8125" style="351" customWidth="1"/>
    <col min="7190" max="7190" width="8.0625" style="351" customWidth="1"/>
    <col min="7191" max="7191" width="12.5625" style="351" customWidth="1"/>
    <col min="7192" max="7192" width="8.0625" style="351" customWidth="1"/>
    <col min="7193" max="7193" width="12.5625" style="351" customWidth="1"/>
    <col min="7194" max="7194" width="10.5" style="351" customWidth="1"/>
    <col min="7195" max="7195" width="12.5625" style="351" customWidth="1"/>
    <col min="7196" max="7196" width="9.0625" style="351" customWidth="1"/>
    <col min="7197" max="7197" width="12.5625" style="351" customWidth="1"/>
    <col min="7198" max="7198" width="8.8125" style="351" customWidth="1"/>
    <col min="7199" max="7199" width="11.75" style="351" customWidth="1"/>
    <col min="7200" max="7200" width="33.75" style="351" customWidth="1"/>
    <col min="7201" max="7201" width="0" style="351" hidden="1" customWidth="1"/>
    <col min="7202" max="7202" width="83.0625" style="351" customWidth="1"/>
    <col min="7203" max="7424" width="8.5625" style="351"/>
    <col min="7425" max="7425" width="13.0625" style="351" customWidth="1"/>
    <col min="7426" max="7426" width="10.75" style="351" customWidth="1"/>
    <col min="7427" max="7427" width="22.5" style="351" customWidth="1"/>
    <col min="7428" max="7428" width="12.5625" style="351" customWidth="1"/>
    <col min="7429" max="7429" width="11.25" style="351" customWidth="1"/>
    <col min="7430" max="7430" width="39.5625" style="351" customWidth="1"/>
    <col min="7431" max="7431" width="7.75" style="351" customWidth="1"/>
    <col min="7432" max="7432" width="10.8125" style="351" customWidth="1"/>
    <col min="7433" max="7433" width="8.25" style="351" customWidth="1"/>
    <col min="7434" max="7434" width="10.5" style="351" customWidth="1"/>
    <col min="7435" max="7442" width="0" style="351" hidden="1" customWidth="1"/>
    <col min="7443" max="7443" width="27.75" style="351" customWidth="1"/>
    <col min="7444" max="7444" width="7.5625" style="351" customWidth="1"/>
    <col min="7445" max="7445" width="11.8125" style="351" customWidth="1"/>
    <col min="7446" max="7446" width="8.0625" style="351" customWidth="1"/>
    <col min="7447" max="7447" width="12.5625" style="351" customWidth="1"/>
    <col min="7448" max="7448" width="8.0625" style="351" customWidth="1"/>
    <col min="7449" max="7449" width="12.5625" style="351" customWidth="1"/>
    <col min="7450" max="7450" width="10.5" style="351" customWidth="1"/>
    <col min="7451" max="7451" width="12.5625" style="351" customWidth="1"/>
    <col min="7452" max="7452" width="9.0625" style="351" customWidth="1"/>
    <col min="7453" max="7453" width="12.5625" style="351" customWidth="1"/>
    <col min="7454" max="7454" width="8.8125" style="351" customWidth="1"/>
    <col min="7455" max="7455" width="11.75" style="351" customWidth="1"/>
    <col min="7456" max="7456" width="33.75" style="351" customWidth="1"/>
    <col min="7457" max="7457" width="0" style="351" hidden="1" customWidth="1"/>
    <col min="7458" max="7458" width="83.0625" style="351" customWidth="1"/>
    <col min="7459" max="7680" width="8.5625" style="351"/>
    <col min="7681" max="7681" width="13.0625" style="351" customWidth="1"/>
    <col min="7682" max="7682" width="10.75" style="351" customWidth="1"/>
    <col min="7683" max="7683" width="22.5" style="351" customWidth="1"/>
    <col min="7684" max="7684" width="12.5625" style="351" customWidth="1"/>
    <col min="7685" max="7685" width="11.25" style="351" customWidth="1"/>
    <col min="7686" max="7686" width="39.5625" style="351" customWidth="1"/>
    <col min="7687" max="7687" width="7.75" style="351" customWidth="1"/>
    <col min="7688" max="7688" width="10.8125" style="351" customWidth="1"/>
    <col min="7689" max="7689" width="8.25" style="351" customWidth="1"/>
    <col min="7690" max="7690" width="10.5" style="351" customWidth="1"/>
    <col min="7691" max="7698" width="0" style="351" hidden="1" customWidth="1"/>
    <col min="7699" max="7699" width="27.75" style="351" customWidth="1"/>
    <col min="7700" max="7700" width="7.5625" style="351" customWidth="1"/>
    <col min="7701" max="7701" width="11.8125" style="351" customWidth="1"/>
    <col min="7702" max="7702" width="8.0625" style="351" customWidth="1"/>
    <col min="7703" max="7703" width="12.5625" style="351" customWidth="1"/>
    <col min="7704" max="7704" width="8.0625" style="351" customWidth="1"/>
    <col min="7705" max="7705" width="12.5625" style="351" customWidth="1"/>
    <col min="7706" max="7706" width="10.5" style="351" customWidth="1"/>
    <col min="7707" max="7707" width="12.5625" style="351" customWidth="1"/>
    <col min="7708" max="7708" width="9.0625" style="351" customWidth="1"/>
    <col min="7709" max="7709" width="12.5625" style="351" customWidth="1"/>
    <col min="7710" max="7710" width="8.8125" style="351" customWidth="1"/>
    <col min="7711" max="7711" width="11.75" style="351" customWidth="1"/>
    <col min="7712" max="7712" width="33.75" style="351" customWidth="1"/>
    <col min="7713" max="7713" width="0" style="351" hidden="1" customWidth="1"/>
    <col min="7714" max="7714" width="83.0625" style="351" customWidth="1"/>
    <col min="7715" max="7936" width="8.5625" style="351"/>
    <col min="7937" max="7937" width="13.0625" style="351" customWidth="1"/>
    <col min="7938" max="7938" width="10.75" style="351" customWidth="1"/>
    <col min="7939" max="7939" width="22.5" style="351" customWidth="1"/>
    <col min="7940" max="7940" width="12.5625" style="351" customWidth="1"/>
    <col min="7941" max="7941" width="11.25" style="351" customWidth="1"/>
    <col min="7942" max="7942" width="39.5625" style="351" customWidth="1"/>
    <col min="7943" max="7943" width="7.75" style="351" customWidth="1"/>
    <col min="7944" max="7944" width="10.8125" style="351" customWidth="1"/>
    <col min="7945" max="7945" width="8.25" style="351" customWidth="1"/>
    <col min="7946" max="7946" width="10.5" style="351" customWidth="1"/>
    <col min="7947" max="7954" width="0" style="351" hidden="1" customWidth="1"/>
    <col min="7955" max="7955" width="27.75" style="351" customWidth="1"/>
    <col min="7956" max="7956" width="7.5625" style="351" customWidth="1"/>
    <col min="7957" max="7957" width="11.8125" style="351" customWidth="1"/>
    <col min="7958" max="7958" width="8.0625" style="351" customWidth="1"/>
    <col min="7959" max="7959" width="12.5625" style="351" customWidth="1"/>
    <col min="7960" max="7960" width="8.0625" style="351" customWidth="1"/>
    <col min="7961" max="7961" width="12.5625" style="351" customWidth="1"/>
    <col min="7962" max="7962" width="10.5" style="351" customWidth="1"/>
    <col min="7963" max="7963" width="12.5625" style="351" customWidth="1"/>
    <col min="7964" max="7964" width="9.0625" style="351" customWidth="1"/>
    <col min="7965" max="7965" width="12.5625" style="351" customWidth="1"/>
    <col min="7966" max="7966" width="8.8125" style="351" customWidth="1"/>
    <col min="7967" max="7967" width="11.75" style="351" customWidth="1"/>
    <col min="7968" max="7968" width="33.75" style="351" customWidth="1"/>
    <col min="7969" max="7969" width="0" style="351" hidden="1" customWidth="1"/>
    <col min="7970" max="7970" width="83.0625" style="351" customWidth="1"/>
    <col min="7971" max="8192" width="8.5625" style="351"/>
    <col min="8193" max="8193" width="13.0625" style="351" customWidth="1"/>
    <col min="8194" max="8194" width="10.75" style="351" customWidth="1"/>
    <col min="8195" max="8195" width="22.5" style="351" customWidth="1"/>
    <col min="8196" max="8196" width="12.5625" style="351" customWidth="1"/>
    <col min="8197" max="8197" width="11.25" style="351" customWidth="1"/>
    <col min="8198" max="8198" width="39.5625" style="351" customWidth="1"/>
    <col min="8199" max="8199" width="7.75" style="351" customWidth="1"/>
    <col min="8200" max="8200" width="10.8125" style="351" customWidth="1"/>
    <col min="8201" max="8201" width="8.25" style="351" customWidth="1"/>
    <col min="8202" max="8202" width="10.5" style="351" customWidth="1"/>
    <col min="8203" max="8210" width="0" style="351" hidden="1" customWidth="1"/>
    <col min="8211" max="8211" width="27.75" style="351" customWidth="1"/>
    <col min="8212" max="8212" width="7.5625" style="351" customWidth="1"/>
    <col min="8213" max="8213" width="11.8125" style="351" customWidth="1"/>
    <col min="8214" max="8214" width="8.0625" style="351" customWidth="1"/>
    <col min="8215" max="8215" width="12.5625" style="351" customWidth="1"/>
    <col min="8216" max="8216" width="8.0625" style="351" customWidth="1"/>
    <col min="8217" max="8217" width="12.5625" style="351" customWidth="1"/>
    <col min="8218" max="8218" width="10.5" style="351" customWidth="1"/>
    <col min="8219" max="8219" width="12.5625" style="351" customWidth="1"/>
    <col min="8220" max="8220" width="9.0625" style="351" customWidth="1"/>
    <col min="8221" max="8221" width="12.5625" style="351" customWidth="1"/>
    <col min="8222" max="8222" width="8.8125" style="351" customWidth="1"/>
    <col min="8223" max="8223" width="11.75" style="351" customWidth="1"/>
    <col min="8224" max="8224" width="33.75" style="351" customWidth="1"/>
    <col min="8225" max="8225" width="0" style="351" hidden="1" customWidth="1"/>
    <col min="8226" max="8226" width="83.0625" style="351" customWidth="1"/>
    <col min="8227" max="8448" width="8.5625" style="351"/>
    <col min="8449" max="8449" width="13.0625" style="351" customWidth="1"/>
    <col min="8450" max="8450" width="10.75" style="351" customWidth="1"/>
    <col min="8451" max="8451" width="22.5" style="351" customWidth="1"/>
    <col min="8452" max="8452" width="12.5625" style="351" customWidth="1"/>
    <col min="8453" max="8453" width="11.25" style="351" customWidth="1"/>
    <col min="8454" max="8454" width="39.5625" style="351" customWidth="1"/>
    <col min="8455" max="8455" width="7.75" style="351" customWidth="1"/>
    <col min="8456" max="8456" width="10.8125" style="351" customWidth="1"/>
    <col min="8457" max="8457" width="8.25" style="351" customWidth="1"/>
    <col min="8458" max="8458" width="10.5" style="351" customWidth="1"/>
    <col min="8459" max="8466" width="0" style="351" hidden="1" customWidth="1"/>
    <col min="8467" max="8467" width="27.75" style="351" customWidth="1"/>
    <col min="8468" max="8468" width="7.5625" style="351" customWidth="1"/>
    <col min="8469" max="8469" width="11.8125" style="351" customWidth="1"/>
    <col min="8470" max="8470" width="8.0625" style="351" customWidth="1"/>
    <col min="8471" max="8471" width="12.5625" style="351" customWidth="1"/>
    <col min="8472" max="8472" width="8.0625" style="351" customWidth="1"/>
    <col min="8473" max="8473" width="12.5625" style="351" customWidth="1"/>
    <col min="8474" max="8474" width="10.5" style="351" customWidth="1"/>
    <col min="8475" max="8475" width="12.5625" style="351" customWidth="1"/>
    <col min="8476" max="8476" width="9.0625" style="351" customWidth="1"/>
    <col min="8477" max="8477" width="12.5625" style="351" customWidth="1"/>
    <col min="8478" max="8478" width="8.8125" style="351" customWidth="1"/>
    <col min="8479" max="8479" width="11.75" style="351" customWidth="1"/>
    <col min="8480" max="8480" width="33.75" style="351" customWidth="1"/>
    <col min="8481" max="8481" width="0" style="351" hidden="1" customWidth="1"/>
    <col min="8482" max="8482" width="83.0625" style="351" customWidth="1"/>
    <col min="8483" max="8704" width="8.5625" style="351"/>
    <col min="8705" max="8705" width="13.0625" style="351" customWidth="1"/>
    <col min="8706" max="8706" width="10.75" style="351" customWidth="1"/>
    <col min="8707" max="8707" width="22.5" style="351" customWidth="1"/>
    <col min="8708" max="8708" width="12.5625" style="351" customWidth="1"/>
    <col min="8709" max="8709" width="11.25" style="351" customWidth="1"/>
    <col min="8710" max="8710" width="39.5625" style="351" customWidth="1"/>
    <col min="8711" max="8711" width="7.75" style="351" customWidth="1"/>
    <col min="8712" max="8712" width="10.8125" style="351" customWidth="1"/>
    <col min="8713" max="8713" width="8.25" style="351" customWidth="1"/>
    <col min="8714" max="8714" width="10.5" style="351" customWidth="1"/>
    <col min="8715" max="8722" width="0" style="351" hidden="1" customWidth="1"/>
    <col min="8723" max="8723" width="27.75" style="351" customWidth="1"/>
    <col min="8724" max="8724" width="7.5625" style="351" customWidth="1"/>
    <col min="8725" max="8725" width="11.8125" style="351" customWidth="1"/>
    <col min="8726" max="8726" width="8.0625" style="351" customWidth="1"/>
    <col min="8727" max="8727" width="12.5625" style="351" customWidth="1"/>
    <col min="8728" max="8728" width="8.0625" style="351" customWidth="1"/>
    <col min="8729" max="8729" width="12.5625" style="351" customWidth="1"/>
    <col min="8730" max="8730" width="10.5" style="351" customWidth="1"/>
    <col min="8731" max="8731" width="12.5625" style="351" customWidth="1"/>
    <col min="8732" max="8732" width="9.0625" style="351" customWidth="1"/>
    <col min="8733" max="8733" width="12.5625" style="351" customWidth="1"/>
    <col min="8734" max="8734" width="8.8125" style="351" customWidth="1"/>
    <col min="8735" max="8735" width="11.75" style="351" customWidth="1"/>
    <col min="8736" max="8736" width="33.75" style="351" customWidth="1"/>
    <col min="8737" max="8737" width="0" style="351" hidden="1" customWidth="1"/>
    <col min="8738" max="8738" width="83.0625" style="351" customWidth="1"/>
    <col min="8739" max="8960" width="8.5625" style="351"/>
    <col min="8961" max="8961" width="13.0625" style="351" customWidth="1"/>
    <col min="8962" max="8962" width="10.75" style="351" customWidth="1"/>
    <col min="8963" max="8963" width="22.5" style="351" customWidth="1"/>
    <col min="8964" max="8964" width="12.5625" style="351" customWidth="1"/>
    <col min="8965" max="8965" width="11.25" style="351" customWidth="1"/>
    <col min="8966" max="8966" width="39.5625" style="351" customWidth="1"/>
    <col min="8967" max="8967" width="7.75" style="351" customWidth="1"/>
    <col min="8968" max="8968" width="10.8125" style="351" customWidth="1"/>
    <col min="8969" max="8969" width="8.25" style="351" customWidth="1"/>
    <col min="8970" max="8970" width="10.5" style="351" customWidth="1"/>
    <col min="8971" max="8978" width="0" style="351" hidden="1" customWidth="1"/>
    <col min="8979" max="8979" width="27.75" style="351" customWidth="1"/>
    <col min="8980" max="8980" width="7.5625" style="351" customWidth="1"/>
    <col min="8981" max="8981" width="11.8125" style="351" customWidth="1"/>
    <col min="8982" max="8982" width="8.0625" style="351" customWidth="1"/>
    <col min="8983" max="8983" width="12.5625" style="351" customWidth="1"/>
    <col min="8984" max="8984" width="8.0625" style="351" customWidth="1"/>
    <col min="8985" max="8985" width="12.5625" style="351" customWidth="1"/>
    <col min="8986" max="8986" width="10.5" style="351" customWidth="1"/>
    <col min="8987" max="8987" width="12.5625" style="351" customWidth="1"/>
    <col min="8988" max="8988" width="9.0625" style="351" customWidth="1"/>
    <col min="8989" max="8989" width="12.5625" style="351" customWidth="1"/>
    <col min="8990" max="8990" width="8.8125" style="351" customWidth="1"/>
    <col min="8991" max="8991" width="11.75" style="351" customWidth="1"/>
    <col min="8992" max="8992" width="33.75" style="351" customWidth="1"/>
    <col min="8993" max="8993" width="0" style="351" hidden="1" customWidth="1"/>
    <col min="8994" max="8994" width="83.0625" style="351" customWidth="1"/>
    <col min="8995" max="9216" width="8.5625" style="351"/>
    <col min="9217" max="9217" width="13.0625" style="351" customWidth="1"/>
    <col min="9218" max="9218" width="10.75" style="351" customWidth="1"/>
    <col min="9219" max="9219" width="22.5" style="351" customWidth="1"/>
    <col min="9220" max="9220" width="12.5625" style="351" customWidth="1"/>
    <col min="9221" max="9221" width="11.25" style="351" customWidth="1"/>
    <col min="9222" max="9222" width="39.5625" style="351" customWidth="1"/>
    <col min="9223" max="9223" width="7.75" style="351" customWidth="1"/>
    <col min="9224" max="9224" width="10.8125" style="351" customWidth="1"/>
    <col min="9225" max="9225" width="8.25" style="351" customWidth="1"/>
    <col min="9226" max="9226" width="10.5" style="351" customWidth="1"/>
    <col min="9227" max="9234" width="0" style="351" hidden="1" customWidth="1"/>
    <col min="9235" max="9235" width="27.75" style="351" customWidth="1"/>
    <col min="9236" max="9236" width="7.5625" style="351" customWidth="1"/>
    <col min="9237" max="9237" width="11.8125" style="351" customWidth="1"/>
    <col min="9238" max="9238" width="8.0625" style="351" customWidth="1"/>
    <col min="9239" max="9239" width="12.5625" style="351" customWidth="1"/>
    <col min="9240" max="9240" width="8.0625" style="351" customWidth="1"/>
    <col min="9241" max="9241" width="12.5625" style="351" customWidth="1"/>
    <col min="9242" max="9242" width="10.5" style="351" customWidth="1"/>
    <col min="9243" max="9243" width="12.5625" style="351" customWidth="1"/>
    <col min="9244" max="9244" width="9.0625" style="351" customWidth="1"/>
    <col min="9245" max="9245" width="12.5625" style="351" customWidth="1"/>
    <col min="9246" max="9246" width="8.8125" style="351" customWidth="1"/>
    <col min="9247" max="9247" width="11.75" style="351" customWidth="1"/>
    <col min="9248" max="9248" width="33.75" style="351" customWidth="1"/>
    <col min="9249" max="9249" width="0" style="351" hidden="1" customWidth="1"/>
    <col min="9250" max="9250" width="83.0625" style="351" customWidth="1"/>
    <col min="9251" max="9472" width="8.5625" style="351"/>
    <col min="9473" max="9473" width="13.0625" style="351" customWidth="1"/>
    <col min="9474" max="9474" width="10.75" style="351" customWidth="1"/>
    <col min="9475" max="9475" width="22.5" style="351" customWidth="1"/>
    <col min="9476" max="9476" width="12.5625" style="351" customWidth="1"/>
    <col min="9477" max="9477" width="11.25" style="351" customWidth="1"/>
    <col min="9478" max="9478" width="39.5625" style="351" customWidth="1"/>
    <col min="9479" max="9479" width="7.75" style="351" customWidth="1"/>
    <col min="9480" max="9480" width="10.8125" style="351" customWidth="1"/>
    <col min="9481" max="9481" width="8.25" style="351" customWidth="1"/>
    <col min="9482" max="9482" width="10.5" style="351" customWidth="1"/>
    <col min="9483" max="9490" width="0" style="351" hidden="1" customWidth="1"/>
    <col min="9491" max="9491" width="27.75" style="351" customWidth="1"/>
    <col min="9492" max="9492" width="7.5625" style="351" customWidth="1"/>
    <col min="9493" max="9493" width="11.8125" style="351" customWidth="1"/>
    <col min="9494" max="9494" width="8.0625" style="351" customWidth="1"/>
    <col min="9495" max="9495" width="12.5625" style="351" customWidth="1"/>
    <col min="9496" max="9496" width="8.0625" style="351" customWidth="1"/>
    <col min="9497" max="9497" width="12.5625" style="351" customWidth="1"/>
    <col min="9498" max="9498" width="10.5" style="351" customWidth="1"/>
    <col min="9499" max="9499" width="12.5625" style="351" customWidth="1"/>
    <col min="9500" max="9500" width="9.0625" style="351" customWidth="1"/>
    <col min="9501" max="9501" width="12.5625" style="351" customWidth="1"/>
    <col min="9502" max="9502" width="8.8125" style="351" customWidth="1"/>
    <col min="9503" max="9503" width="11.75" style="351" customWidth="1"/>
    <col min="9504" max="9504" width="33.75" style="351" customWidth="1"/>
    <col min="9505" max="9505" width="0" style="351" hidden="1" customWidth="1"/>
    <col min="9506" max="9506" width="83.0625" style="351" customWidth="1"/>
    <col min="9507" max="9728" width="8.5625" style="351"/>
    <col min="9729" max="9729" width="13.0625" style="351" customWidth="1"/>
    <col min="9730" max="9730" width="10.75" style="351" customWidth="1"/>
    <col min="9731" max="9731" width="22.5" style="351" customWidth="1"/>
    <col min="9732" max="9732" width="12.5625" style="351" customWidth="1"/>
    <col min="9733" max="9733" width="11.25" style="351" customWidth="1"/>
    <col min="9734" max="9734" width="39.5625" style="351" customWidth="1"/>
    <col min="9735" max="9735" width="7.75" style="351" customWidth="1"/>
    <col min="9736" max="9736" width="10.8125" style="351" customWidth="1"/>
    <col min="9737" max="9737" width="8.25" style="351" customWidth="1"/>
    <col min="9738" max="9738" width="10.5" style="351" customWidth="1"/>
    <col min="9739" max="9746" width="0" style="351" hidden="1" customWidth="1"/>
    <col min="9747" max="9747" width="27.75" style="351" customWidth="1"/>
    <col min="9748" max="9748" width="7.5625" style="351" customWidth="1"/>
    <col min="9749" max="9749" width="11.8125" style="351" customWidth="1"/>
    <col min="9750" max="9750" width="8.0625" style="351" customWidth="1"/>
    <col min="9751" max="9751" width="12.5625" style="351" customWidth="1"/>
    <col min="9752" max="9752" width="8.0625" style="351" customWidth="1"/>
    <col min="9753" max="9753" width="12.5625" style="351" customWidth="1"/>
    <col min="9754" max="9754" width="10.5" style="351" customWidth="1"/>
    <col min="9755" max="9755" width="12.5625" style="351" customWidth="1"/>
    <col min="9756" max="9756" width="9.0625" style="351" customWidth="1"/>
    <col min="9757" max="9757" width="12.5625" style="351" customWidth="1"/>
    <col min="9758" max="9758" width="8.8125" style="351" customWidth="1"/>
    <col min="9759" max="9759" width="11.75" style="351" customWidth="1"/>
    <col min="9760" max="9760" width="33.75" style="351" customWidth="1"/>
    <col min="9761" max="9761" width="0" style="351" hidden="1" customWidth="1"/>
    <col min="9762" max="9762" width="83.0625" style="351" customWidth="1"/>
    <col min="9763" max="9984" width="8.5625" style="351"/>
    <col min="9985" max="9985" width="13.0625" style="351" customWidth="1"/>
    <col min="9986" max="9986" width="10.75" style="351" customWidth="1"/>
    <col min="9987" max="9987" width="22.5" style="351" customWidth="1"/>
    <col min="9988" max="9988" width="12.5625" style="351" customWidth="1"/>
    <col min="9989" max="9989" width="11.25" style="351" customWidth="1"/>
    <col min="9990" max="9990" width="39.5625" style="351" customWidth="1"/>
    <col min="9991" max="9991" width="7.75" style="351" customWidth="1"/>
    <col min="9992" max="9992" width="10.8125" style="351" customWidth="1"/>
    <col min="9993" max="9993" width="8.25" style="351" customWidth="1"/>
    <col min="9994" max="9994" width="10.5" style="351" customWidth="1"/>
    <col min="9995" max="10002" width="0" style="351" hidden="1" customWidth="1"/>
    <col min="10003" max="10003" width="27.75" style="351" customWidth="1"/>
    <col min="10004" max="10004" width="7.5625" style="351" customWidth="1"/>
    <col min="10005" max="10005" width="11.8125" style="351" customWidth="1"/>
    <col min="10006" max="10006" width="8.0625" style="351" customWidth="1"/>
    <col min="10007" max="10007" width="12.5625" style="351" customWidth="1"/>
    <col min="10008" max="10008" width="8.0625" style="351" customWidth="1"/>
    <col min="10009" max="10009" width="12.5625" style="351" customWidth="1"/>
    <col min="10010" max="10010" width="10.5" style="351" customWidth="1"/>
    <col min="10011" max="10011" width="12.5625" style="351" customWidth="1"/>
    <col min="10012" max="10012" width="9.0625" style="351" customWidth="1"/>
    <col min="10013" max="10013" width="12.5625" style="351" customWidth="1"/>
    <col min="10014" max="10014" width="8.8125" style="351" customWidth="1"/>
    <col min="10015" max="10015" width="11.75" style="351" customWidth="1"/>
    <col min="10016" max="10016" width="33.75" style="351" customWidth="1"/>
    <col min="10017" max="10017" width="0" style="351" hidden="1" customWidth="1"/>
    <col min="10018" max="10018" width="83.0625" style="351" customWidth="1"/>
    <col min="10019" max="10240" width="8.5625" style="351"/>
    <col min="10241" max="10241" width="13.0625" style="351" customWidth="1"/>
    <col min="10242" max="10242" width="10.75" style="351" customWidth="1"/>
    <col min="10243" max="10243" width="22.5" style="351" customWidth="1"/>
    <col min="10244" max="10244" width="12.5625" style="351" customWidth="1"/>
    <col min="10245" max="10245" width="11.25" style="351" customWidth="1"/>
    <col min="10246" max="10246" width="39.5625" style="351" customWidth="1"/>
    <col min="10247" max="10247" width="7.75" style="351" customWidth="1"/>
    <col min="10248" max="10248" width="10.8125" style="351" customWidth="1"/>
    <col min="10249" max="10249" width="8.25" style="351" customWidth="1"/>
    <col min="10250" max="10250" width="10.5" style="351" customWidth="1"/>
    <col min="10251" max="10258" width="0" style="351" hidden="1" customWidth="1"/>
    <col min="10259" max="10259" width="27.75" style="351" customWidth="1"/>
    <col min="10260" max="10260" width="7.5625" style="351" customWidth="1"/>
    <col min="10261" max="10261" width="11.8125" style="351" customWidth="1"/>
    <col min="10262" max="10262" width="8.0625" style="351" customWidth="1"/>
    <col min="10263" max="10263" width="12.5625" style="351" customWidth="1"/>
    <col min="10264" max="10264" width="8.0625" style="351" customWidth="1"/>
    <col min="10265" max="10265" width="12.5625" style="351" customWidth="1"/>
    <col min="10266" max="10266" width="10.5" style="351" customWidth="1"/>
    <col min="10267" max="10267" width="12.5625" style="351" customWidth="1"/>
    <col min="10268" max="10268" width="9.0625" style="351" customWidth="1"/>
    <col min="10269" max="10269" width="12.5625" style="351" customWidth="1"/>
    <col min="10270" max="10270" width="8.8125" style="351" customWidth="1"/>
    <col min="10271" max="10271" width="11.75" style="351" customWidth="1"/>
    <col min="10272" max="10272" width="33.75" style="351" customWidth="1"/>
    <col min="10273" max="10273" width="0" style="351" hidden="1" customWidth="1"/>
    <col min="10274" max="10274" width="83.0625" style="351" customWidth="1"/>
    <col min="10275" max="10496" width="8.5625" style="351"/>
    <col min="10497" max="10497" width="13.0625" style="351" customWidth="1"/>
    <col min="10498" max="10498" width="10.75" style="351" customWidth="1"/>
    <col min="10499" max="10499" width="22.5" style="351" customWidth="1"/>
    <col min="10500" max="10500" width="12.5625" style="351" customWidth="1"/>
    <col min="10501" max="10501" width="11.25" style="351" customWidth="1"/>
    <col min="10502" max="10502" width="39.5625" style="351" customWidth="1"/>
    <col min="10503" max="10503" width="7.75" style="351" customWidth="1"/>
    <col min="10504" max="10504" width="10.8125" style="351" customWidth="1"/>
    <col min="10505" max="10505" width="8.25" style="351" customWidth="1"/>
    <col min="10506" max="10506" width="10.5" style="351" customWidth="1"/>
    <col min="10507" max="10514" width="0" style="351" hidden="1" customWidth="1"/>
    <col min="10515" max="10515" width="27.75" style="351" customWidth="1"/>
    <col min="10516" max="10516" width="7.5625" style="351" customWidth="1"/>
    <col min="10517" max="10517" width="11.8125" style="351" customWidth="1"/>
    <col min="10518" max="10518" width="8.0625" style="351" customWidth="1"/>
    <col min="10519" max="10519" width="12.5625" style="351" customWidth="1"/>
    <col min="10520" max="10520" width="8.0625" style="351" customWidth="1"/>
    <col min="10521" max="10521" width="12.5625" style="351" customWidth="1"/>
    <col min="10522" max="10522" width="10.5" style="351" customWidth="1"/>
    <col min="10523" max="10523" width="12.5625" style="351" customWidth="1"/>
    <col min="10524" max="10524" width="9.0625" style="351" customWidth="1"/>
    <col min="10525" max="10525" width="12.5625" style="351" customWidth="1"/>
    <col min="10526" max="10526" width="8.8125" style="351" customWidth="1"/>
    <col min="10527" max="10527" width="11.75" style="351" customWidth="1"/>
    <col min="10528" max="10528" width="33.75" style="351" customWidth="1"/>
    <col min="10529" max="10529" width="0" style="351" hidden="1" customWidth="1"/>
    <col min="10530" max="10530" width="83.0625" style="351" customWidth="1"/>
    <col min="10531" max="10752" width="8.5625" style="351"/>
    <col min="10753" max="10753" width="13.0625" style="351" customWidth="1"/>
    <col min="10754" max="10754" width="10.75" style="351" customWidth="1"/>
    <col min="10755" max="10755" width="22.5" style="351" customWidth="1"/>
    <col min="10756" max="10756" width="12.5625" style="351" customWidth="1"/>
    <col min="10757" max="10757" width="11.25" style="351" customWidth="1"/>
    <col min="10758" max="10758" width="39.5625" style="351" customWidth="1"/>
    <col min="10759" max="10759" width="7.75" style="351" customWidth="1"/>
    <col min="10760" max="10760" width="10.8125" style="351" customWidth="1"/>
    <col min="10761" max="10761" width="8.25" style="351" customWidth="1"/>
    <col min="10762" max="10762" width="10.5" style="351" customWidth="1"/>
    <col min="10763" max="10770" width="0" style="351" hidden="1" customWidth="1"/>
    <col min="10771" max="10771" width="27.75" style="351" customWidth="1"/>
    <col min="10772" max="10772" width="7.5625" style="351" customWidth="1"/>
    <col min="10773" max="10773" width="11.8125" style="351" customWidth="1"/>
    <col min="10774" max="10774" width="8.0625" style="351" customWidth="1"/>
    <col min="10775" max="10775" width="12.5625" style="351" customWidth="1"/>
    <col min="10776" max="10776" width="8.0625" style="351" customWidth="1"/>
    <col min="10777" max="10777" width="12.5625" style="351" customWidth="1"/>
    <col min="10778" max="10778" width="10.5" style="351" customWidth="1"/>
    <col min="10779" max="10779" width="12.5625" style="351" customWidth="1"/>
    <col min="10780" max="10780" width="9.0625" style="351" customWidth="1"/>
    <col min="10781" max="10781" width="12.5625" style="351" customWidth="1"/>
    <col min="10782" max="10782" width="8.8125" style="351" customWidth="1"/>
    <col min="10783" max="10783" width="11.75" style="351" customWidth="1"/>
    <col min="10784" max="10784" width="33.75" style="351" customWidth="1"/>
    <col min="10785" max="10785" width="0" style="351" hidden="1" customWidth="1"/>
    <col min="10786" max="10786" width="83.0625" style="351" customWidth="1"/>
    <col min="10787" max="11008" width="8.5625" style="351"/>
    <col min="11009" max="11009" width="13.0625" style="351" customWidth="1"/>
    <col min="11010" max="11010" width="10.75" style="351" customWidth="1"/>
    <col min="11011" max="11011" width="22.5" style="351" customWidth="1"/>
    <col min="11012" max="11012" width="12.5625" style="351" customWidth="1"/>
    <col min="11013" max="11013" width="11.25" style="351" customWidth="1"/>
    <col min="11014" max="11014" width="39.5625" style="351" customWidth="1"/>
    <col min="11015" max="11015" width="7.75" style="351" customWidth="1"/>
    <col min="11016" max="11016" width="10.8125" style="351" customWidth="1"/>
    <col min="11017" max="11017" width="8.25" style="351" customWidth="1"/>
    <col min="11018" max="11018" width="10.5" style="351" customWidth="1"/>
    <col min="11019" max="11026" width="0" style="351" hidden="1" customWidth="1"/>
    <col min="11027" max="11027" width="27.75" style="351" customWidth="1"/>
    <col min="11028" max="11028" width="7.5625" style="351" customWidth="1"/>
    <col min="11029" max="11029" width="11.8125" style="351" customWidth="1"/>
    <col min="11030" max="11030" width="8.0625" style="351" customWidth="1"/>
    <col min="11031" max="11031" width="12.5625" style="351" customWidth="1"/>
    <col min="11032" max="11032" width="8.0625" style="351" customWidth="1"/>
    <col min="11033" max="11033" width="12.5625" style="351" customWidth="1"/>
    <col min="11034" max="11034" width="10.5" style="351" customWidth="1"/>
    <col min="11035" max="11035" width="12.5625" style="351" customWidth="1"/>
    <col min="11036" max="11036" width="9.0625" style="351" customWidth="1"/>
    <col min="11037" max="11037" width="12.5625" style="351" customWidth="1"/>
    <col min="11038" max="11038" width="8.8125" style="351" customWidth="1"/>
    <col min="11039" max="11039" width="11.75" style="351" customWidth="1"/>
    <col min="11040" max="11040" width="33.75" style="351" customWidth="1"/>
    <col min="11041" max="11041" width="0" style="351" hidden="1" customWidth="1"/>
    <col min="11042" max="11042" width="83.0625" style="351" customWidth="1"/>
    <col min="11043" max="11264" width="8.5625" style="351"/>
    <col min="11265" max="11265" width="13.0625" style="351" customWidth="1"/>
    <col min="11266" max="11266" width="10.75" style="351" customWidth="1"/>
    <col min="11267" max="11267" width="22.5" style="351" customWidth="1"/>
    <col min="11268" max="11268" width="12.5625" style="351" customWidth="1"/>
    <col min="11269" max="11269" width="11.25" style="351" customWidth="1"/>
    <col min="11270" max="11270" width="39.5625" style="351" customWidth="1"/>
    <col min="11271" max="11271" width="7.75" style="351" customWidth="1"/>
    <col min="11272" max="11272" width="10.8125" style="351" customWidth="1"/>
    <col min="11273" max="11273" width="8.25" style="351" customWidth="1"/>
    <col min="11274" max="11274" width="10.5" style="351" customWidth="1"/>
    <col min="11275" max="11282" width="0" style="351" hidden="1" customWidth="1"/>
    <col min="11283" max="11283" width="27.75" style="351" customWidth="1"/>
    <col min="11284" max="11284" width="7.5625" style="351" customWidth="1"/>
    <col min="11285" max="11285" width="11.8125" style="351" customWidth="1"/>
    <col min="11286" max="11286" width="8.0625" style="351" customWidth="1"/>
    <col min="11287" max="11287" width="12.5625" style="351" customWidth="1"/>
    <col min="11288" max="11288" width="8.0625" style="351" customWidth="1"/>
    <col min="11289" max="11289" width="12.5625" style="351" customWidth="1"/>
    <col min="11290" max="11290" width="10.5" style="351" customWidth="1"/>
    <col min="11291" max="11291" width="12.5625" style="351" customWidth="1"/>
    <col min="11292" max="11292" width="9.0625" style="351" customWidth="1"/>
    <col min="11293" max="11293" width="12.5625" style="351" customWidth="1"/>
    <col min="11294" max="11294" width="8.8125" style="351" customWidth="1"/>
    <col min="11295" max="11295" width="11.75" style="351" customWidth="1"/>
    <col min="11296" max="11296" width="33.75" style="351" customWidth="1"/>
    <col min="11297" max="11297" width="0" style="351" hidden="1" customWidth="1"/>
    <col min="11298" max="11298" width="83.0625" style="351" customWidth="1"/>
    <col min="11299" max="11520" width="8.5625" style="351"/>
    <col min="11521" max="11521" width="13.0625" style="351" customWidth="1"/>
    <col min="11522" max="11522" width="10.75" style="351" customWidth="1"/>
    <col min="11523" max="11523" width="22.5" style="351" customWidth="1"/>
    <col min="11524" max="11524" width="12.5625" style="351" customWidth="1"/>
    <col min="11525" max="11525" width="11.25" style="351" customWidth="1"/>
    <col min="11526" max="11526" width="39.5625" style="351" customWidth="1"/>
    <col min="11527" max="11527" width="7.75" style="351" customWidth="1"/>
    <col min="11528" max="11528" width="10.8125" style="351" customWidth="1"/>
    <col min="11529" max="11529" width="8.25" style="351" customWidth="1"/>
    <col min="11530" max="11530" width="10.5" style="351" customWidth="1"/>
    <col min="11531" max="11538" width="0" style="351" hidden="1" customWidth="1"/>
    <col min="11539" max="11539" width="27.75" style="351" customWidth="1"/>
    <col min="11540" max="11540" width="7.5625" style="351" customWidth="1"/>
    <col min="11541" max="11541" width="11.8125" style="351" customWidth="1"/>
    <col min="11542" max="11542" width="8.0625" style="351" customWidth="1"/>
    <col min="11543" max="11543" width="12.5625" style="351" customWidth="1"/>
    <col min="11544" max="11544" width="8.0625" style="351" customWidth="1"/>
    <col min="11545" max="11545" width="12.5625" style="351" customWidth="1"/>
    <col min="11546" max="11546" width="10.5" style="351" customWidth="1"/>
    <col min="11547" max="11547" width="12.5625" style="351" customWidth="1"/>
    <col min="11548" max="11548" width="9.0625" style="351" customWidth="1"/>
    <col min="11549" max="11549" width="12.5625" style="351" customWidth="1"/>
    <col min="11550" max="11550" width="8.8125" style="351" customWidth="1"/>
    <col min="11551" max="11551" width="11.75" style="351" customWidth="1"/>
    <col min="11552" max="11552" width="33.75" style="351" customWidth="1"/>
    <col min="11553" max="11553" width="0" style="351" hidden="1" customWidth="1"/>
    <col min="11554" max="11554" width="83.0625" style="351" customWidth="1"/>
    <col min="11555" max="11776" width="8.5625" style="351"/>
    <col min="11777" max="11777" width="13.0625" style="351" customWidth="1"/>
    <col min="11778" max="11778" width="10.75" style="351" customWidth="1"/>
    <col min="11779" max="11779" width="22.5" style="351" customWidth="1"/>
    <col min="11780" max="11780" width="12.5625" style="351" customWidth="1"/>
    <col min="11781" max="11781" width="11.25" style="351" customWidth="1"/>
    <col min="11782" max="11782" width="39.5625" style="351" customWidth="1"/>
    <col min="11783" max="11783" width="7.75" style="351" customWidth="1"/>
    <col min="11784" max="11784" width="10.8125" style="351" customWidth="1"/>
    <col min="11785" max="11785" width="8.25" style="351" customWidth="1"/>
    <col min="11786" max="11786" width="10.5" style="351" customWidth="1"/>
    <col min="11787" max="11794" width="0" style="351" hidden="1" customWidth="1"/>
    <col min="11795" max="11795" width="27.75" style="351" customWidth="1"/>
    <col min="11796" max="11796" width="7.5625" style="351" customWidth="1"/>
    <col min="11797" max="11797" width="11.8125" style="351" customWidth="1"/>
    <col min="11798" max="11798" width="8.0625" style="351" customWidth="1"/>
    <col min="11799" max="11799" width="12.5625" style="351" customWidth="1"/>
    <col min="11800" max="11800" width="8.0625" style="351" customWidth="1"/>
    <col min="11801" max="11801" width="12.5625" style="351" customWidth="1"/>
    <col min="11802" max="11802" width="10.5" style="351" customWidth="1"/>
    <col min="11803" max="11803" width="12.5625" style="351" customWidth="1"/>
    <col min="11804" max="11804" width="9.0625" style="351" customWidth="1"/>
    <col min="11805" max="11805" width="12.5625" style="351" customWidth="1"/>
    <col min="11806" max="11806" width="8.8125" style="351" customWidth="1"/>
    <col min="11807" max="11807" width="11.75" style="351" customWidth="1"/>
    <col min="11808" max="11808" width="33.75" style="351" customWidth="1"/>
    <col min="11809" max="11809" width="0" style="351" hidden="1" customWidth="1"/>
    <col min="11810" max="11810" width="83.0625" style="351" customWidth="1"/>
    <col min="11811" max="12032" width="8.5625" style="351"/>
    <col min="12033" max="12033" width="13.0625" style="351" customWidth="1"/>
    <col min="12034" max="12034" width="10.75" style="351" customWidth="1"/>
    <col min="12035" max="12035" width="22.5" style="351" customWidth="1"/>
    <col min="12036" max="12036" width="12.5625" style="351" customWidth="1"/>
    <col min="12037" max="12037" width="11.25" style="351" customWidth="1"/>
    <col min="12038" max="12038" width="39.5625" style="351" customWidth="1"/>
    <col min="12039" max="12039" width="7.75" style="351" customWidth="1"/>
    <col min="12040" max="12040" width="10.8125" style="351" customWidth="1"/>
    <col min="12041" max="12041" width="8.25" style="351" customWidth="1"/>
    <col min="12042" max="12042" width="10.5" style="351" customWidth="1"/>
    <col min="12043" max="12050" width="0" style="351" hidden="1" customWidth="1"/>
    <col min="12051" max="12051" width="27.75" style="351" customWidth="1"/>
    <col min="12052" max="12052" width="7.5625" style="351" customWidth="1"/>
    <col min="12053" max="12053" width="11.8125" style="351" customWidth="1"/>
    <col min="12054" max="12054" width="8.0625" style="351" customWidth="1"/>
    <col min="12055" max="12055" width="12.5625" style="351" customWidth="1"/>
    <col min="12056" max="12056" width="8.0625" style="351" customWidth="1"/>
    <col min="12057" max="12057" width="12.5625" style="351" customWidth="1"/>
    <col min="12058" max="12058" width="10.5" style="351" customWidth="1"/>
    <col min="12059" max="12059" width="12.5625" style="351" customWidth="1"/>
    <col min="12060" max="12060" width="9.0625" style="351" customWidth="1"/>
    <col min="12061" max="12061" width="12.5625" style="351" customWidth="1"/>
    <col min="12062" max="12062" width="8.8125" style="351" customWidth="1"/>
    <col min="12063" max="12063" width="11.75" style="351" customWidth="1"/>
    <col min="12064" max="12064" width="33.75" style="351" customWidth="1"/>
    <col min="12065" max="12065" width="0" style="351" hidden="1" customWidth="1"/>
    <col min="12066" max="12066" width="83.0625" style="351" customWidth="1"/>
    <col min="12067" max="12288" width="8.5625" style="351"/>
    <col min="12289" max="12289" width="13.0625" style="351" customWidth="1"/>
    <col min="12290" max="12290" width="10.75" style="351" customWidth="1"/>
    <col min="12291" max="12291" width="22.5" style="351" customWidth="1"/>
    <col min="12292" max="12292" width="12.5625" style="351" customWidth="1"/>
    <col min="12293" max="12293" width="11.25" style="351" customWidth="1"/>
    <col min="12294" max="12294" width="39.5625" style="351" customWidth="1"/>
    <col min="12295" max="12295" width="7.75" style="351" customWidth="1"/>
    <col min="12296" max="12296" width="10.8125" style="351" customWidth="1"/>
    <col min="12297" max="12297" width="8.25" style="351" customWidth="1"/>
    <col min="12298" max="12298" width="10.5" style="351" customWidth="1"/>
    <col min="12299" max="12306" width="0" style="351" hidden="1" customWidth="1"/>
    <col min="12307" max="12307" width="27.75" style="351" customWidth="1"/>
    <col min="12308" max="12308" width="7.5625" style="351" customWidth="1"/>
    <col min="12309" max="12309" width="11.8125" style="351" customWidth="1"/>
    <col min="12310" max="12310" width="8.0625" style="351" customWidth="1"/>
    <col min="12311" max="12311" width="12.5625" style="351" customWidth="1"/>
    <col min="12312" max="12312" width="8.0625" style="351" customWidth="1"/>
    <col min="12313" max="12313" width="12.5625" style="351" customWidth="1"/>
    <col min="12314" max="12314" width="10.5" style="351" customWidth="1"/>
    <col min="12315" max="12315" width="12.5625" style="351" customWidth="1"/>
    <col min="12316" max="12316" width="9.0625" style="351" customWidth="1"/>
    <col min="12317" max="12317" width="12.5625" style="351" customWidth="1"/>
    <col min="12318" max="12318" width="8.8125" style="351" customWidth="1"/>
    <col min="12319" max="12319" width="11.75" style="351" customWidth="1"/>
    <col min="12320" max="12320" width="33.75" style="351" customWidth="1"/>
    <col min="12321" max="12321" width="0" style="351" hidden="1" customWidth="1"/>
    <col min="12322" max="12322" width="83.0625" style="351" customWidth="1"/>
    <col min="12323" max="12544" width="8.5625" style="351"/>
    <col min="12545" max="12545" width="13.0625" style="351" customWidth="1"/>
    <col min="12546" max="12546" width="10.75" style="351" customWidth="1"/>
    <col min="12547" max="12547" width="22.5" style="351" customWidth="1"/>
    <col min="12548" max="12548" width="12.5625" style="351" customWidth="1"/>
    <col min="12549" max="12549" width="11.25" style="351" customWidth="1"/>
    <col min="12550" max="12550" width="39.5625" style="351" customWidth="1"/>
    <col min="12551" max="12551" width="7.75" style="351" customWidth="1"/>
    <col min="12552" max="12552" width="10.8125" style="351" customWidth="1"/>
    <col min="12553" max="12553" width="8.25" style="351" customWidth="1"/>
    <col min="12554" max="12554" width="10.5" style="351" customWidth="1"/>
    <col min="12555" max="12562" width="0" style="351" hidden="1" customWidth="1"/>
    <col min="12563" max="12563" width="27.75" style="351" customWidth="1"/>
    <col min="12564" max="12564" width="7.5625" style="351" customWidth="1"/>
    <col min="12565" max="12565" width="11.8125" style="351" customWidth="1"/>
    <col min="12566" max="12566" width="8.0625" style="351" customWidth="1"/>
    <col min="12567" max="12567" width="12.5625" style="351" customWidth="1"/>
    <col min="12568" max="12568" width="8.0625" style="351" customWidth="1"/>
    <col min="12569" max="12569" width="12.5625" style="351" customWidth="1"/>
    <col min="12570" max="12570" width="10.5" style="351" customWidth="1"/>
    <col min="12571" max="12571" width="12.5625" style="351" customWidth="1"/>
    <col min="12572" max="12572" width="9.0625" style="351" customWidth="1"/>
    <col min="12573" max="12573" width="12.5625" style="351" customWidth="1"/>
    <col min="12574" max="12574" width="8.8125" style="351" customWidth="1"/>
    <col min="12575" max="12575" width="11.75" style="351" customWidth="1"/>
    <col min="12576" max="12576" width="33.75" style="351" customWidth="1"/>
    <col min="12577" max="12577" width="0" style="351" hidden="1" customWidth="1"/>
    <col min="12578" max="12578" width="83.0625" style="351" customWidth="1"/>
    <col min="12579" max="12800" width="8.5625" style="351"/>
    <col min="12801" max="12801" width="13.0625" style="351" customWidth="1"/>
    <col min="12802" max="12802" width="10.75" style="351" customWidth="1"/>
    <col min="12803" max="12803" width="22.5" style="351" customWidth="1"/>
    <col min="12804" max="12804" width="12.5625" style="351" customWidth="1"/>
    <col min="12805" max="12805" width="11.25" style="351" customWidth="1"/>
    <col min="12806" max="12806" width="39.5625" style="351" customWidth="1"/>
    <col min="12807" max="12807" width="7.75" style="351" customWidth="1"/>
    <col min="12808" max="12808" width="10.8125" style="351" customWidth="1"/>
    <col min="12809" max="12809" width="8.25" style="351" customWidth="1"/>
    <col min="12810" max="12810" width="10.5" style="351" customWidth="1"/>
    <col min="12811" max="12818" width="0" style="351" hidden="1" customWidth="1"/>
    <col min="12819" max="12819" width="27.75" style="351" customWidth="1"/>
    <col min="12820" max="12820" width="7.5625" style="351" customWidth="1"/>
    <col min="12821" max="12821" width="11.8125" style="351" customWidth="1"/>
    <col min="12822" max="12822" width="8.0625" style="351" customWidth="1"/>
    <col min="12823" max="12823" width="12.5625" style="351" customWidth="1"/>
    <col min="12824" max="12824" width="8.0625" style="351" customWidth="1"/>
    <col min="12825" max="12825" width="12.5625" style="351" customWidth="1"/>
    <col min="12826" max="12826" width="10.5" style="351" customWidth="1"/>
    <col min="12827" max="12827" width="12.5625" style="351" customWidth="1"/>
    <col min="12828" max="12828" width="9.0625" style="351" customWidth="1"/>
    <col min="12829" max="12829" width="12.5625" style="351" customWidth="1"/>
    <col min="12830" max="12830" width="8.8125" style="351" customWidth="1"/>
    <col min="12831" max="12831" width="11.75" style="351" customWidth="1"/>
    <col min="12832" max="12832" width="33.75" style="351" customWidth="1"/>
    <col min="12833" max="12833" width="0" style="351" hidden="1" customWidth="1"/>
    <col min="12834" max="12834" width="83.0625" style="351" customWidth="1"/>
    <col min="12835" max="13056" width="8.5625" style="351"/>
    <col min="13057" max="13057" width="13.0625" style="351" customWidth="1"/>
    <col min="13058" max="13058" width="10.75" style="351" customWidth="1"/>
    <col min="13059" max="13059" width="22.5" style="351" customWidth="1"/>
    <col min="13060" max="13060" width="12.5625" style="351" customWidth="1"/>
    <col min="13061" max="13061" width="11.25" style="351" customWidth="1"/>
    <col min="13062" max="13062" width="39.5625" style="351" customWidth="1"/>
    <col min="13063" max="13063" width="7.75" style="351" customWidth="1"/>
    <col min="13064" max="13064" width="10.8125" style="351" customWidth="1"/>
    <col min="13065" max="13065" width="8.25" style="351" customWidth="1"/>
    <col min="13066" max="13066" width="10.5" style="351" customWidth="1"/>
    <col min="13067" max="13074" width="0" style="351" hidden="1" customWidth="1"/>
    <col min="13075" max="13075" width="27.75" style="351" customWidth="1"/>
    <col min="13076" max="13076" width="7.5625" style="351" customWidth="1"/>
    <col min="13077" max="13077" width="11.8125" style="351" customWidth="1"/>
    <col min="13078" max="13078" width="8.0625" style="351" customWidth="1"/>
    <col min="13079" max="13079" width="12.5625" style="351" customWidth="1"/>
    <col min="13080" max="13080" width="8.0625" style="351" customWidth="1"/>
    <col min="13081" max="13081" width="12.5625" style="351" customWidth="1"/>
    <col min="13082" max="13082" width="10.5" style="351" customWidth="1"/>
    <col min="13083" max="13083" width="12.5625" style="351" customWidth="1"/>
    <col min="13084" max="13084" width="9.0625" style="351" customWidth="1"/>
    <col min="13085" max="13085" width="12.5625" style="351" customWidth="1"/>
    <col min="13086" max="13086" width="8.8125" style="351" customWidth="1"/>
    <col min="13087" max="13087" width="11.75" style="351" customWidth="1"/>
    <col min="13088" max="13088" width="33.75" style="351" customWidth="1"/>
    <col min="13089" max="13089" width="0" style="351" hidden="1" customWidth="1"/>
    <col min="13090" max="13090" width="83.0625" style="351" customWidth="1"/>
    <col min="13091" max="13312" width="8.5625" style="351"/>
    <col min="13313" max="13313" width="13.0625" style="351" customWidth="1"/>
    <col min="13314" max="13314" width="10.75" style="351" customWidth="1"/>
    <col min="13315" max="13315" width="22.5" style="351" customWidth="1"/>
    <col min="13316" max="13316" width="12.5625" style="351" customWidth="1"/>
    <col min="13317" max="13317" width="11.25" style="351" customWidth="1"/>
    <col min="13318" max="13318" width="39.5625" style="351" customWidth="1"/>
    <col min="13319" max="13319" width="7.75" style="351" customWidth="1"/>
    <col min="13320" max="13320" width="10.8125" style="351" customWidth="1"/>
    <col min="13321" max="13321" width="8.25" style="351" customWidth="1"/>
    <col min="13322" max="13322" width="10.5" style="351" customWidth="1"/>
    <col min="13323" max="13330" width="0" style="351" hidden="1" customWidth="1"/>
    <col min="13331" max="13331" width="27.75" style="351" customWidth="1"/>
    <col min="13332" max="13332" width="7.5625" style="351" customWidth="1"/>
    <col min="13333" max="13333" width="11.8125" style="351" customWidth="1"/>
    <col min="13334" max="13334" width="8.0625" style="351" customWidth="1"/>
    <col min="13335" max="13335" width="12.5625" style="351" customWidth="1"/>
    <col min="13336" max="13336" width="8.0625" style="351" customWidth="1"/>
    <col min="13337" max="13337" width="12.5625" style="351" customWidth="1"/>
    <col min="13338" max="13338" width="10.5" style="351" customWidth="1"/>
    <col min="13339" max="13339" width="12.5625" style="351" customWidth="1"/>
    <col min="13340" max="13340" width="9.0625" style="351" customWidth="1"/>
    <col min="13341" max="13341" width="12.5625" style="351" customWidth="1"/>
    <col min="13342" max="13342" width="8.8125" style="351" customWidth="1"/>
    <col min="13343" max="13343" width="11.75" style="351" customWidth="1"/>
    <col min="13344" max="13344" width="33.75" style="351" customWidth="1"/>
    <col min="13345" max="13345" width="0" style="351" hidden="1" customWidth="1"/>
    <col min="13346" max="13346" width="83.0625" style="351" customWidth="1"/>
    <col min="13347" max="13568" width="8.5625" style="351"/>
    <col min="13569" max="13569" width="13.0625" style="351" customWidth="1"/>
    <col min="13570" max="13570" width="10.75" style="351" customWidth="1"/>
    <col min="13571" max="13571" width="22.5" style="351" customWidth="1"/>
    <col min="13572" max="13572" width="12.5625" style="351" customWidth="1"/>
    <col min="13573" max="13573" width="11.25" style="351" customWidth="1"/>
    <col min="13574" max="13574" width="39.5625" style="351" customWidth="1"/>
    <col min="13575" max="13575" width="7.75" style="351" customWidth="1"/>
    <col min="13576" max="13576" width="10.8125" style="351" customWidth="1"/>
    <col min="13577" max="13577" width="8.25" style="351" customWidth="1"/>
    <col min="13578" max="13578" width="10.5" style="351" customWidth="1"/>
    <col min="13579" max="13586" width="0" style="351" hidden="1" customWidth="1"/>
    <col min="13587" max="13587" width="27.75" style="351" customWidth="1"/>
    <col min="13588" max="13588" width="7.5625" style="351" customWidth="1"/>
    <col min="13589" max="13589" width="11.8125" style="351" customWidth="1"/>
    <col min="13590" max="13590" width="8.0625" style="351" customWidth="1"/>
    <col min="13591" max="13591" width="12.5625" style="351" customWidth="1"/>
    <col min="13592" max="13592" width="8.0625" style="351" customWidth="1"/>
    <col min="13593" max="13593" width="12.5625" style="351" customWidth="1"/>
    <col min="13594" max="13594" width="10.5" style="351" customWidth="1"/>
    <col min="13595" max="13595" width="12.5625" style="351" customWidth="1"/>
    <col min="13596" max="13596" width="9.0625" style="351" customWidth="1"/>
    <col min="13597" max="13597" width="12.5625" style="351" customWidth="1"/>
    <col min="13598" max="13598" width="8.8125" style="351" customWidth="1"/>
    <col min="13599" max="13599" width="11.75" style="351" customWidth="1"/>
    <col min="13600" max="13600" width="33.75" style="351" customWidth="1"/>
    <col min="13601" max="13601" width="0" style="351" hidden="1" customWidth="1"/>
    <col min="13602" max="13602" width="83.0625" style="351" customWidth="1"/>
    <col min="13603" max="13824" width="8.5625" style="351"/>
    <col min="13825" max="13825" width="13.0625" style="351" customWidth="1"/>
    <col min="13826" max="13826" width="10.75" style="351" customWidth="1"/>
    <col min="13827" max="13827" width="22.5" style="351" customWidth="1"/>
    <col min="13828" max="13828" width="12.5625" style="351" customWidth="1"/>
    <col min="13829" max="13829" width="11.25" style="351" customWidth="1"/>
    <col min="13830" max="13830" width="39.5625" style="351" customWidth="1"/>
    <col min="13831" max="13831" width="7.75" style="351" customWidth="1"/>
    <col min="13832" max="13832" width="10.8125" style="351" customWidth="1"/>
    <col min="13833" max="13833" width="8.25" style="351" customWidth="1"/>
    <col min="13834" max="13834" width="10.5" style="351" customWidth="1"/>
    <col min="13835" max="13842" width="0" style="351" hidden="1" customWidth="1"/>
    <col min="13843" max="13843" width="27.75" style="351" customWidth="1"/>
    <col min="13844" max="13844" width="7.5625" style="351" customWidth="1"/>
    <col min="13845" max="13845" width="11.8125" style="351" customWidth="1"/>
    <col min="13846" max="13846" width="8.0625" style="351" customWidth="1"/>
    <col min="13847" max="13847" width="12.5625" style="351" customWidth="1"/>
    <col min="13848" max="13848" width="8.0625" style="351" customWidth="1"/>
    <col min="13849" max="13849" width="12.5625" style="351" customWidth="1"/>
    <col min="13850" max="13850" width="10.5" style="351" customWidth="1"/>
    <col min="13851" max="13851" width="12.5625" style="351" customWidth="1"/>
    <col min="13852" max="13852" width="9.0625" style="351" customWidth="1"/>
    <col min="13853" max="13853" width="12.5625" style="351" customWidth="1"/>
    <col min="13854" max="13854" width="8.8125" style="351" customWidth="1"/>
    <col min="13855" max="13855" width="11.75" style="351" customWidth="1"/>
    <col min="13856" max="13856" width="33.75" style="351" customWidth="1"/>
    <col min="13857" max="13857" width="0" style="351" hidden="1" customWidth="1"/>
    <col min="13858" max="13858" width="83.0625" style="351" customWidth="1"/>
    <col min="13859" max="14080" width="8.5625" style="351"/>
    <col min="14081" max="14081" width="13.0625" style="351" customWidth="1"/>
    <col min="14082" max="14082" width="10.75" style="351" customWidth="1"/>
    <col min="14083" max="14083" width="22.5" style="351" customWidth="1"/>
    <col min="14084" max="14084" width="12.5625" style="351" customWidth="1"/>
    <col min="14085" max="14085" width="11.25" style="351" customWidth="1"/>
    <col min="14086" max="14086" width="39.5625" style="351" customWidth="1"/>
    <col min="14087" max="14087" width="7.75" style="351" customWidth="1"/>
    <col min="14088" max="14088" width="10.8125" style="351" customWidth="1"/>
    <col min="14089" max="14089" width="8.25" style="351" customWidth="1"/>
    <col min="14090" max="14090" width="10.5" style="351" customWidth="1"/>
    <col min="14091" max="14098" width="0" style="351" hidden="1" customWidth="1"/>
    <col min="14099" max="14099" width="27.75" style="351" customWidth="1"/>
    <col min="14100" max="14100" width="7.5625" style="351" customWidth="1"/>
    <col min="14101" max="14101" width="11.8125" style="351" customWidth="1"/>
    <col min="14102" max="14102" width="8.0625" style="351" customWidth="1"/>
    <col min="14103" max="14103" width="12.5625" style="351" customWidth="1"/>
    <col min="14104" max="14104" width="8.0625" style="351" customWidth="1"/>
    <col min="14105" max="14105" width="12.5625" style="351" customWidth="1"/>
    <col min="14106" max="14106" width="10.5" style="351" customWidth="1"/>
    <col min="14107" max="14107" width="12.5625" style="351" customWidth="1"/>
    <col min="14108" max="14108" width="9.0625" style="351" customWidth="1"/>
    <col min="14109" max="14109" width="12.5625" style="351" customWidth="1"/>
    <col min="14110" max="14110" width="8.8125" style="351" customWidth="1"/>
    <col min="14111" max="14111" width="11.75" style="351" customWidth="1"/>
    <col min="14112" max="14112" width="33.75" style="351" customWidth="1"/>
    <col min="14113" max="14113" width="0" style="351" hidden="1" customWidth="1"/>
    <col min="14114" max="14114" width="83.0625" style="351" customWidth="1"/>
    <col min="14115" max="14336" width="8.5625" style="351"/>
    <col min="14337" max="14337" width="13.0625" style="351" customWidth="1"/>
    <col min="14338" max="14338" width="10.75" style="351" customWidth="1"/>
    <col min="14339" max="14339" width="22.5" style="351" customWidth="1"/>
    <col min="14340" max="14340" width="12.5625" style="351" customWidth="1"/>
    <col min="14341" max="14341" width="11.25" style="351" customWidth="1"/>
    <col min="14342" max="14342" width="39.5625" style="351" customWidth="1"/>
    <col min="14343" max="14343" width="7.75" style="351" customWidth="1"/>
    <col min="14344" max="14344" width="10.8125" style="351" customWidth="1"/>
    <col min="14345" max="14345" width="8.25" style="351" customWidth="1"/>
    <col min="14346" max="14346" width="10.5" style="351" customWidth="1"/>
    <col min="14347" max="14354" width="0" style="351" hidden="1" customWidth="1"/>
    <col min="14355" max="14355" width="27.75" style="351" customWidth="1"/>
    <col min="14356" max="14356" width="7.5625" style="351" customWidth="1"/>
    <col min="14357" max="14357" width="11.8125" style="351" customWidth="1"/>
    <col min="14358" max="14358" width="8.0625" style="351" customWidth="1"/>
    <col min="14359" max="14359" width="12.5625" style="351" customWidth="1"/>
    <col min="14360" max="14360" width="8.0625" style="351" customWidth="1"/>
    <col min="14361" max="14361" width="12.5625" style="351" customWidth="1"/>
    <col min="14362" max="14362" width="10.5" style="351" customWidth="1"/>
    <col min="14363" max="14363" width="12.5625" style="351" customWidth="1"/>
    <col min="14364" max="14364" width="9.0625" style="351" customWidth="1"/>
    <col min="14365" max="14365" width="12.5625" style="351" customWidth="1"/>
    <col min="14366" max="14366" width="8.8125" style="351" customWidth="1"/>
    <col min="14367" max="14367" width="11.75" style="351" customWidth="1"/>
    <col min="14368" max="14368" width="33.75" style="351" customWidth="1"/>
    <col min="14369" max="14369" width="0" style="351" hidden="1" customWidth="1"/>
    <col min="14370" max="14370" width="83.0625" style="351" customWidth="1"/>
    <col min="14371" max="14592" width="8.5625" style="351"/>
    <col min="14593" max="14593" width="13.0625" style="351" customWidth="1"/>
    <col min="14594" max="14594" width="10.75" style="351" customWidth="1"/>
    <col min="14595" max="14595" width="22.5" style="351" customWidth="1"/>
    <col min="14596" max="14596" width="12.5625" style="351" customWidth="1"/>
    <col min="14597" max="14597" width="11.25" style="351" customWidth="1"/>
    <col min="14598" max="14598" width="39.5625" style="351" customWidth="1"/>
    <col min="14599" max="14599" width="7.75" style="351" customWidth="1"/>
    <col min="14600" max="14600" width="10.8125" style="351" customWidth="1"/>
    <col min="14601" max="14601" width="8.25" style="351" customWidth="1"/>
    <col min="14602" max="14602" width="10.5" style="351" customWidth="1"/>
    <col min="14603" max="14610" width="0" style="351" hidden="1" customWidth="1"/>
    <col min="14611" max="14611" width="27.75" style="351" customWidth="1"/>
    <col min="14612" max="14612" width="7.5625" style="351" customWidth="1"/>
    <col min="14613" max="14613" width="11.8125" style="351" customWidth="1"/>
    <col min="14614" max="14614" width="8.0625" style="351" customWidth="1"/>
    <col min="14615" max="14615" width="12.5625" style="351" customWidth="1"/>
    <col min="14616" max="14616" width="8.0625" style="351" customWidth="1"/>
    <col min="14617" max="14617" width="12.5625" style="351" customWidth="1"/>
    <col min="14618" max="14618" width="10.5" style="351" customWidth="1"/>
    <col min="14619" max="14619" width="12.5625" style="351" customWidth="1"/>
    <col min="14620" max="14620" width="9.0625" style="351" customWidth="1"/>
    <col min="14621" max="14621" width="12.5625" style="351" customWidth="1"/>
    <col min="14622" max="14622" width="8.8125" style="351" customWidth="1"/>
    <col min="14623" max="14623" width="11.75" style="351" customWidth="1"/>
    <col min="14624" max="14624" width="33.75" style="351" customWidth="1"/>
    <col min="14625" max="14625" width="0" style="351" hidden="1" customWidth="1"/>
    <col min="14626" max="14626" width="83.0625" style="351" customWidth="1"/>
    <col min="14627" max="14848" width="8.5625" style="351"/>
    <col min="14849" max="14849" width="13.0625" style="351" customWidth="1"/>
    <col min="14850" max="14850" width="10.75" style="351" customWidth="1"/>
    <col min="14851" max="14851" width="22.5" style="351" customWidth="1"/>
    <col min="14852" max="14852" width="12.5625" style="351" customWidth="1"/>
    <col min="14853" max="14853" width="11.25" style="351" customWidth="1"/>
    <col min="14854" max="14854" width="39.5625" style="351" customWidth="1"/>
    <col min="14855" max="14855" width="7.75" style="351" customWidth="1"/>
    <col min="14856" max="14856" width="10.8125" style="351" customWidth="1"/>
    <col min="14857" max="14857" width="8.25" style="351" customWidth="1"/>
    <col min="14858" max="14858" width="10.5" style="351" customWidth="1"/>
    <col min="14859" max="14866" width="0" style="351" hidden="1" customWidth="1"/>
    <col min="14867" max="14867" width="27.75" style="351" customWidth="1"/>
    <col min="14868" max="14868" width="7.5625" style="351" customWidth="1"/>
    <col min="14869" max="14869" width="11.8125" style="351" customWidth="1"/>
    <col min="14870" max="14870" width="8.0625" style="351" customWidth="1"/>
    <col min="14871" max="14871" width="12.5625" style="351" customWidth="1"/>
    <col min="14872" max="14872" width="8.0625" style="351" customWidth="1"/>
    <col min="14873" max="14873" width="12.5625" style="351" customWidth="1"/>
    <col min="14874" max="14874" width="10.5" style="351" customWidth="1"/>
    <col min="14875" max="14875" width="12.5625" style="351" customWidth="1"/>
    <col min="14876" max="14876" width="9.0625" style="351" customWidth="1"/>
    <col min="14877" max="14877" width="12.5625" style="351" customWidth="1"/>
    <col min="14878" max="14878" width="8.8125" style="351" customWidth="1"/>
    <col min="14879" max="14879" width="11.75" style="351" customWidth="1"/>
    <col min="14880" max="14880" width="33.75" style="351" customWidth="1"/>
    <col min="14881" max="14881" width="0" style="351" hidden="1" customWidth="1"/>
    <col min="14882" max="14882" width="83.0625" style="351" customWidth="1"/>
    <col min="14883" max="15104" width="8.5625" style="351"/>
    <col min="15105" max="15105" width="13.0625" style="351" customWidth="1"/>
    <col min="15106" max="15106" width="10.75" style="351" customWidth="1"/>
    <col min="15107" max="15107" width="22.5" style="351" customWidth="1"/>
    <col min="15108" max="15108" width="12.5625" style="351" customWidth="1"/>
    <col min="15109" max="15109" width="11.25" style="351" customWidth="1"/>
    <col min="15110" max="15110" width="39.5625" style="351" customWidth="1"/>
    <col min="15111" max="15111" width="7.75" style="351" customWidth="1"/>
    <col min="15112" max="15112" width="10.8125" style="351" customWidth="1"/>
    <col min="15113" max="15113" width="8.25" style="351" customWidth="1"/>
    <col min="15114" max="15114" width="10.5" style="351" customWidth="1"/>
    <col min="15115" max="15122" width="0" style="351" hidden="1" customWidth="1"/>
    <col min="15123" max="15123" width="27.75" style="351" customWidth="1"/>
    <col min="15124" max="15124" width="7.5625" style="351" customWidth="1"/>
    <col min="15125" max="15125" width="11.8125" style="351" customWidth="1"/>
    <col min="15126" max="15126" width="8.0625" style="351" customWidth="1"/>
    <col min="15127" max="15127" width="12.5625" style="351" customWidth="1"/>
    <col min="15128" max="15128" width="8.0625" style="351" customWidth="1"/>
    <col min="15129" max="15129" width="12.5625" style="351" customWidth="1"/>
    <col min="15130" max="15130" width="10.5" style="351" customWidth="1"/>
    <col min="15131" max="15131" width="12.5625" style="351" customWidth="1"/>
    <col min="15132" max="15132" width="9.0625" style="351" customWidth="1"/>
    <col min="15133" max="15133" width="12.5625" style="351" customWidth="1"/>
    <col min="15134" max="15134" width="8.8125" style="351" customWidth="1"/>
    <col min="15135" max="15135" width="11.75" style="351" customWidth="1"/>
    <col min="15136" max="15136" width="33.75" style="351" customWidth="1"/>
    <col min="15137" max="15137" width="0" style="351" hidden="1" customWidth="1"/>
    <col min="15138" max="15138" width="83.0625" style="351" customWidth="1"/>
    <col min="15139" max="15360" width="8.5625" style="351"/>
    <col min="15361" max="15361" width="13.0625" style="351" customWidth="1"/>
    <col min="15362" max="15362" width="10.75" style="351" customWidth="1"/>
    <col min="15363" max="15363" width="22.5" style="351" customWidth="1"/>
    <col min="15364" max="15364" width="12.5625" style="351" customWidth="1"/>
    <col min="15365" max="15365" width="11.25" style="351" customWidth="1"/>
    <col min="15366" max="15366" width="39.5625" style="351" customWidth="1"/>
    <col min="15367" max="15367" width="7.75" style="351" customWidth="1"/>
    <col min="15368" max="15368" width="10.8125" style="351" customWidth="1"/>
    <col min="15369" max="15369" width="8.25" style="351" customWidth="1"/>
    <col min="15370" max="15370" width="10.5" style="351" customWidth="1"/>
    <col min="15371" max="15378" width="0" style="351" hidden="1" customWidth="1"/>
    <col min="15379" max="15379" width="27.75" style="351" customWidth="1"/>
    <col min="15380" max="15380" width="7.5625" style="351" customWidth="1"/>
    <col min="15381" max="15381" width="11.8125" style="351" customWidth="1"/>
    <col min="15382" max="15382" width="8.0625" style="351" customWidth="1"/>
    <col min="15383" max="15383" width="12.5625" style="351" customWidth="1"/>
    <col min="15384" max="15384" width="8.0625" style="351" customWidth="1"/>
    <col min="15385" max="15385" width="12.5625" style="351" customWidth="1"/>
    <col min="15386" max="15386" width="10.5" style="351" customWidth="1"/>
    <col min="15387" max="15387" width="12.5625" style="351" customWidth="1"/>
    <col min="15388" max="15388" width="9.0625" style="351" customWidth="1"/>
    <col min="15389" max="15389" width="12.5625" style="351" customWidth="1"/>
    <col min="15390" max="15390" width="8.8125" style="351" customWidth="1"/>
    <col min="15391" max="15391" width="11.75" style="351" customWidth="1"/>
    <col min="15392" max="15392" width="33.75" style="351" customWidth="1"/>
    <col min="15393" max="15393" width="0" style="351" hidden="1" customWidth="1"/>
    <col min="15394" max="15394" width="83.0625" style="351" customWidth="1"/>
    <col min="15395" max="15616" width="8.5625" style="351"/>
    <col min="15617" max="15617" width="13.0625" style="351" customWidth="1"/>
    <col min="15618" max="15618" width="10.75" style="351" customWidth="1"/>
    <col min="15619" max="15619" width="22.5" style="351" customWidth="1"/>
    <col min="15620" max="15620" width="12.5625" style="351" customWidth="1"/>
    <col min="15621" max="15621" width="11.25" style="351" customWidth="1"/>
    <col min="15622" max="15622" width="39.5625" style="351" customWidth="1"/>
    <col min="15623" max="15623" width="7.75" style="351" customWidth="1"/>
    <col min="15624" max="15624" width="10.8125" style="351" customWidth="1"/>
    <col min="15625" max="15625" width="8.25" style="351" customWidth="1"/>
    <col min="15626" max="15626" width="10.5" style="351" customWidth="1"/>
    <col min="15627" max="15634" width="0" style="351" hidden="1" customWidth="1"/>
    <col min="15635" max="15635" width="27.75" style="351" customWidth="1"/>
    <col min="15636" max="15636" width="7.5625" style="351" customWidth="1"/>
    <col min="15637" max="15637" width="11.8125" style="351" customWidth="1"/>
    <col min="15638" max="15638" width="8.0625" style="351" customWidth="1"/>
    <col min="15639" max="15639" width="12.5625" style="351" customWidth="1"/>
    <col min="15640" max="15640" width="8.0625" style="351" customWidth="1"/>
    <col min="15641" max="15641" width="12.5625" style="351" customWidth="1"/>
    <col min="15642" max="15642" width="10.5" style="351" customWidth="1"/>
    <col min="15643" max="15643" width="12.5625" style="351" customWidth="1"/>
    <col min="15644" max="15644" width="9.0625" style="351" customWidth="1"/>
    <col min="15645" max="15645" width="12.5625" style="351" customWidth="1"/>
    <col min="15646" max="15646" width="8.8125" style="351" customWidth="1"/>
    <col min="15647" max="15647" width="11.75" style="351" customWidth="1"/>
    <col min="15648" max="15648" width="33.75" style="351" customWidth="1"/>
    <col min="15649" max="15649" width="0" style="351" hidden="1" customWidth="1"/>
    <col min="15650" max="15650" width="83.0625" style="351" customWidth="1"/>
    <col min="15651" max="15872" width="8.5625" style="351"/>
    <col min="15873" max="15873" width="13.0625" style="351" customWidth="1"/>
    <col min="15874" max="15874" width="10.75" style="351" customWidth="1"/>
    <col min="15875" max="15875" width="22.5" style="351" customWidth="1"/>
    <col min="15876" max="15876" width="12.5625" style="351" customWidth="1"/>
    <col min="15877" max="15877" width="11.25" style="351" customWidth="1"/>
    <col min="15878" max="15878" width="39.5625" style="351" customWidth="1"/>
    <col min="15879" max="15879" width="7.75" style="351" customWidth="1"/>
    <col min="15880" max="15880" width="10.8125" style="351" customWidth="1"/>
    <col min="15881" max="15881" width="8.25" style="351" customWidth="1"/>
    <col min="15882" max="15882" width="10.5" style="351" customWidth="1"/>
    <col min="15883" max="15890" width="0" style="351" hidden="1" customWidth="1"/>
    <col min="15891" max="15891" width="27.75" style="351" customWidth="1"/>
    <col min="15892" max="15892" width="7.5625" style="351" customWidth="1"/>
    <col min="15893" max="15893" width="11.8125" style="351" customWidth="1"/>
    <col min="15894" max="15894" width="8.0625" style="351" customWidth="1"/>
    <col min="15895" max="15895" width="12.5625" style="351" customWidth="1"/>
    <col min="15896" max="15896" width="8.0625" style="351" customWidth="1"/>
    <col min="15897" max="15897" width="12.5625" style="351" customWidth="1"/>
    <col min="15898" max="15898" width="10.5" style="351" customWidth="1"/>
    <col min="15899" max="15899" width="12.5625" style="351" customWidth="1"/>
    <col min="15900" max="15900" width="9.0625" style="351" customWidth="1"/>
    <col min="15901" max="15901" width="12.5625" style="351" customWidth="1"/>
    <col min="15902" max="15902" width="8.8125" style="351" customWidth="1"/>
    <col min="15903" max="15903" width="11.75" style="351" customWidth="1"/>
    <col min="15904" max="15904" width="33.75" style="351" customWidth="1"/>
    <col min="15905" max="15905" width="0" style="351" hidden="1" customWidth="1"/>
    <col min="15906" max="15906" width="83.0625" style="351" customWidth="1"/>
    <col min="15907" max="16128" width="8.5625" style="351"/>
    <col min="16129" max="16129" width="13.0625" style="351" customWidth="1"/>
    <col min="16130" max="16130" width="10.75" style="351" customWidth="1"/>
    <col min="16131" max="16131" width="22.5" style="351" customWidth="1"/>
    <col min="16132" max="16132" width="12.5625" style="351" customWidth="1"/>
    <col min="16133" max="16133" width="11.25" style="351" customWidth="1"/>
    <col min="16134" max="16134" width="39.5625" style="351" customWidth="1"/>
    <col min="16135" max="16135" width="7.75" style="351" customWidth="1"/>
    <col min="16136" max="16136" width="10.8125" style="351" customWidth="1"/>
    <col min="16137" max="16137" width="8.25" style="351" customWidth="1"/>
    <col min="16138" max="16138" width="10.5" style="351" customWidth="1"/>
    <col min="16139" max="16146" width="0" style="351" hidden="1" customWidth="1"/>
    <col min="16147" max="16147" width="27.75" style="351" customWidth="1"/>
    <col min="16148" max="16148" width="7.5625" style="351" customWidth="1"/>
    <col min="16149" max="16149" width="11.8125" style="351" customWidth="1"/>
    <col min="16150" max="16150" width="8.0625" style="351" customWidth="1"/>
    <col min="16151" max="16151" width="12.5625" style="351" customWidth="1"/>
    <col min="16152" max="16152" width="8.0625" style="351" customWidth="1"/>
    <col min="16153" max="16153" width="12.5625" style="351" customWidth="1"/>
    <col min="16154" max="16154" width="10.5" style="351" customWidth="1"/>
    <col min="16155" max="16155" width="12.5625" style="351" customWidth="1"/>
    <col min="16156" max="16156" width="9.0625" style="351" customWidth="1"/>
    <col min="16157" max="16157" width="12.5625" style="351" customWidth="1"/>
    <col min="16158" max="16158" width="8.8125" style="351" customWidth="1"/>
    <col min="16159" max="16159" width="11.75" style="351" customWidth="1"/>
    <col min="16160" max="16160" width="33.75" style="351" customWidth="1"/>
    <col min="16161" max="16161" width="0" style="351" hidden="1" customWidth="1"/>
    <col min="16162" max="16162" width="83.0625" style="351" customWidth="1"/>
    <col min="16163" max="16384" width="8.5625" style="351"/>
  </cols>
  <sheetData>
    <row r="1" spans="1:32" s="335" customFormat="1" ht="17.649999999999999" x14ac:dyDescent="0.35">
      <c r="A1" s="858" t="s">
        <v>483</v>
      </c>
      <c r="B1" s="859"/>
      <c r="C1" s="859"/>
      <c r="D1" s="859"/>
      <c r="E1" s="859"/>
      <c r="F1" s="859"/>
      <c r="G1" s="859"/>
      <c r="H1" s="859"/>
      <c r="I1" s="859"/>
      <c r="J1" s="859"/>
      <c r="K1" s="859"/>
      <c r="L1" s="859"/>
      <c r="M1" s="859"/>
      <c r="N1" s="859"/>
      <c r="O1" s="859"/>
      <c r="P1" s="859"/>
      <c r="Q1" s="859"/>
      <c r="R1" s="859"/>
      <c r="S1" s="859"/>
      <c r="T1" s="859"/>
      <c r="U1" s="859"/>
      <c r="V1" s="859"/>
      <c r="W1" s="859"/>
      <c r="X1" s="859"/>
      <c r="Y1" s="859"/>
      <c r="Z1" s="859"/>
      <c r="AA1" s="859"/>
      <c r="AB1" s="859"/>
      <c r="AC1" s="859"/>
      <c r="AD1" s="859"/>
      <c r="AE1" s="859"/>
      <c r="AF1" s="334"/>
    </row>
    <row r="2" spans="1:32" s="335" customFormat="1" ht="17.649999999999999" x14ac:dyDescent="0.35">
      <c r="A2" s="860" t="s">
        <v>232</v>
      </c>
      <c r="B2" s="859"/>
      <c r="C2" s="859"/>
      <c r="D2" s="859"/>
      <c r="E2" s="859"/>
      <c r="F2" s="859"/>
      <c r="G2" s="859"/>
      <c r="H2" s="859"/>
      <c r="I2" s="859"/>
      <c r="J2" s="859"/>
      <c r="K2" s="859"/>
      <c r="L2" s="859"/>
      <c r="M2" s="859"/>
      <c r="N2" s="859"/>
      <c r="O2" s="859"/>
      <c r="P2" s="859"/>
      <c r="Q2" s="859"/>
      <c r="R2" s="859"/>
      <c r="S2" s="859"/>
      <c r="T2" s="859"/>
      <c r="U2" s="859"/>
      <c r="V2" s="859"/>
      <c r="W2" s="859"/>
      <c r="X2" s="859"/>
      <c r="Y2" s="859"/>
      <c r="Z2" s="859"/>
      <c r="AA2" s="859"/>
      <c r="AB2" s="859"/>
      <c r="AC2" s="859"/>
      <c r="AD2" s="859"/>
      <c r="AE2" s="859"/>
      <c r="AF2" s="336"/>
    </row>
    <row r="3" spans="1:32" s="335" customFormat="1" ht="17.649999999999999" x14ac:dyDescent="0.35">
      <c r="A3" s="860" t="s">
        <v>484</v>
      </c>
      <c r="B3" s="859"/>
      <c r="C3" s="859"/>
      <c r="D3" s="859"/>
      <c r="E3" s="859"/>
      <c r="F3" s="859"/>
      <c r="G3" s="859"/>
      <c r="H3" s="859"/>
      <c r="I3" s="859"/>
      <c r="J3" s="859"/>
      <c r="K3" s="859"/>
      <c r="L3" s="859"/>
      <c r="M3" s="859"/>
      <c r="N3" s="859"/>
      <c r="O3" s="859"/>
      <c r="P3" s="859"/>
      <c r="Q3" s="859"/>
      <c r="R3" s="859"/>
      <c r="S3" s="859"/>
      <c r="T3" s="859"/>
      <c r="U3" s="859"/>
      <c r="V3" s="859"/>
      <c r="W3" s="859"/>
      <c r="X3" s="859"/>
      <c r="Y3" s="859"/>
      <c r="Z3" s="859"/>
      <c r="AA3" s="859"/>
      <c r="AB3" s="859"/>
      <c r="AC3" s="859"/>
      <c r="AD3" s="859"/>
      <c r="AE3" s="859"/>
      <c r="AF3" s="336"/>
    </row>
    <row r="4" spans="1:32" s="335" customFormat="1" ht="20.25" x14ac:dyDescent="0.35">
      <c r="A4" s="861"/>
      <c r="B4" s="859"/>
      <c r="C4" s="859"/>
      <c r="D4" s="859"/>
      <c r="E4" s="859"/>
      <c r="F4" s="859"/>
      <c r="G4" s="859"/>
      <c r="H4" s="859"/>
      <c r="I4" s="859"/>
      <c r="J4" s="859"/>
      <c r="K4" s="859"/>
      <c r="L4" s="859"/>
      <c r="M4" s="859"/>
      <c r="N4" s="859"/>
      <c r="O4" s="859"/>
      <c r="P4" s="859"/>
      <c r="Q4" s="859"/>
      <c r="R4" s="859"/>
      <c r="S4" s="859"/>
      <c r="T4" s="859"/>
      <c r="U4" s="859"/>
      <c r="V4" s="859"/>
      <c r="W4" s="859"/>
      <c r="X4" s="859"/>
      <c r="Y4" s="859"/>
      <c r="Z4" s="859"/>
      <c r="AA4" s="859"/>
      <c r="AB4" s="859"/>
      <c r="AC4" s="859"/>
      <c r="AD4" s="859"/>
      <c r="AE4" s="859"/>
      <c r="AF4" s="337"/>
    </row>
    <row r="5" spans="1:32" s="340" customFormat="1" ht="26.55" customHeight="1" x14ac:dyDescent="0.35">
      <c r="A5" s="862" t="s">
        <v>485</v>
      </c>
      <c r="B5" s="862" t="s">
        <v>486</v>
      </c>
      <c r="C5" s="862" t="s">
        <v>487</v>
      </c>
      <c r="D5" s="862" t="s">
        <v>488</v>
      </c>
      <c r="E5" s="862" t="s">
        <v>489</v>
      </c>
      <c r="F5" s="862" t="s">
        <v>490</v>
      </c>
      <c r="G5" s="867" t="s">
        <v>491</v>
      </c>
      <c r="H5" s="868"/>
      <c r="I5" s="868"/>
      <c r="J5" s="868"/>
      <c r="K5" s="868"/>
      <c r="L5" s="868"/>
      <c r="M5" s="868"/>
      <c r="N5" s="868"/>
      <c r="O5" s="868"/>
      <c r="P5" s="868"/>
      <c r="Q5" s="868"/>
      <c r="R5" s="869"/>
      <c r="S5" s="338"/>
      <c r="T5" s="867" t="s">
        <v>492</v>
      </c>
      <c r="U5" s="868"/>
      <c r="V5" s="868"/>
      <c r="W5" s="868"/>
      <c r="X5" s="868"/>
      <c r="Y5" s="868"/>
      <c r="Z5" s="868"/>
      <c r="AA5" s="868"/>
      <c r="AB5" s="868"/>
      <c r="AC5" s="868"/>
      <c r="AD5" s="868"/>
      <c r="AE5" s="869"/>
      <c r="AF5" s="339"/>
    </row>
    <row r="6" spans="1:32" s="340" customFormat="1" ht="26.55" customHeight="1" x14ac:dyDescent="0.35">
      <c r="A6" s="863"/>
      <c r="B6" s="863"/>
      <c r="C6" s="863"/>
      <c r="D6" s="863"/>
      <c r="E6" s="863"/>
      <c r="F6" s="863"/>
      <c r="G6" s="870" t="s">
        <v>493</v>
      </c>
      <c r="H6" s="869"/>
      <c r="I6" s="870" t="s">
        <v>494</v>
      </c>
      <c r="J6" s="869"/>
      <c r="K6" s="870" t="s">
        <v>495</v>
      </c>
      <c r="L6" s="869"/>
      <c r="M6" s="870" t="s">
        <v>496</v>
      </c>
      <c r="N6" s="869"/>
      <c r="O6" s="870" t="s">
        <v>497</v>
      </c>
      <c r="P6" s="869"/>
      <c r="Q6" s="870" t="s">
        <v>498</v>
      </c>
      <c r="R6" s="869"/>
      <c r="S6" s="341" t="s">
        <v>499</v>
      </c>
      <c r="T6" s="870" t="s">
        <v>500</v>
      </c>
      <c r="U6" s="869"/>
      <c r="V6" s="870" t="s">
        <v>501</v>
      </c>
      <c r="W6" s="869"/>
      <c r="X6" s="870" t="s">
        <v>502</v>
      </c>
      <c r="Y6" s="869"/>
      <c r="Z6" s="870" t="s">
        <v>503</v>
      </c>
      <c r="AA6" s="869"/>
      <c r="AB6" s="870" t="s">
        <v>504</v>
      </c>
      <c r="AC6" s="869"/>
      <c r="AD6" s="870" t="s">
        <v>505</v>
      </c>
      <c r="AE6" s="869"/>
      <c r="AF6" s="341" t="s">
        <v>229</v>
      </c>
    </row>
    <row r="7" spans="1:32" s="340" customFormat="1" ht="18.7" customHeight="1" x14ac:dyDescent="0.35">
      <c r="A7" s="342"/>
      <c r="B7" s="342"/>
      <c r="C7" s="342"/>
      <c r="D7" s="342" t="s">
        <v>506</v>
      </c>
      <c r="E7" s="342"/>
      <c r="F7" s="342"/>
      <c r="G7" s="343" t="s">
        <v>16</v>
      </c>
      <c r="H7" s="343" t="s">
        <v>17</v>
      </c>
      <c r="I7" s="343" t="s">
        <v>16</v>
      </c>
      <c r="J7" s="343" t="s">
        <v>17</v>
      </c>
      <c r="K7" s="343" t="s">
        <v>16</v>
      </c>
      <c r="L7" s="343" t="s">
        <v>17</v>
      </c>
      <c r="M7" s="343" t="s">
        <v>16</v>
      </c>
      <c r="N7" s="343" t="s">
        <v>17</v>
      </c>
      <c r="O7" s="343" t="s">
        <v>16</v>
      </c>
      <c r="P7" s="343" t="s">
        <v>17</v>
      </c>
      <c r="Q7" s="343" t="s">
        <v>16</v>
      </c>
      <c r="R7" s="343" t="s">
        <v>17</v>
      </c>
      <c r="S7" s="343"/>
      <c r="T7" s="343" t="s">
        <v>16</v>
      </c>
      <c r="U7" s="343" t="s">
        <v>17</v>
      </c>
      <c r="V7" s="343" t="s">
        <v>16</v>
      </c>
      <c r="W7" s="343" t="s">
        <v>17</v>
      </c>
      <c r="X7" s="343" t="s">
        <v>16</v>
      </c>
      <c r="Y7" s="343" t="s">
        <v>17</v>
      </c>
      <c r="Z7" s="343" t="s">
        <v>16</v>
      </c>
      <c r="AA7" s="343" t="s">
        <v>17</v>
      </c>
      <c r="AB7" s="343" t="s">
        <v>16</v>
      </c>
      <c r="AC7" s="343" t="s">
        <v>17</v>
      </c>
      <c r="AD7" s="343" t="s">
        <v>16</v>
      </c>
      <c r="AE7" s="343" t="s">
        <v>17</v>
      </c>
      <c r="AF7" s="343"/>
    </row>
    <row r="8" spans="1:32" ht="17.649999999999999" x14ac:dyDescent="0.35">
      <c r="A8" s="871" t="s">
        <v>447</v>
      </c>
      <c r="B8" s="872"/>
      <c r="C8" s="873"/>
      <c r="D8" s="344"/>
      <c r="E8" s="344"/>
      <c r="F8" s="344"/>
      <c r="G8" s="345"/>
      <c r="H8" s="346">
        <v>79558422</v>
      </c>
      <c r="I8" s="345"/>
      <c r="J8" s="346">
        <v>111231035</v>
      </c>
      <c r="K8" s="345"/>
      <c r="L8" s="346">
        <v>0</v>
      </c>
      <c r="M8" s="345"/>
      <c r="N8" s="346">
        <v>0</v>
      </c>
      <c r="O8" s="345"/>
      <c r="P8" s="346">
        <v>0</v>
      </c>
      <c r="Q8" s="345"/>
      <c r="R8" s="346">
        <v>0</v>
      </c>
      <c r="S8" s="347"/>
      <c r="T8" s="348"/>
      <c r="U8" s="349">
        <v>6942400</v>
      </c>
      <c r="V8" s="348"/>
      <c r="W8" s="349">
        <v>65511900</v>
      </c>
      <c r="X8" s="348"/>
      <c r="Y8" s="349">
        <v>0</v>
      </c>
      <c r="Z8" s="348"/>
      <c r="AA8" s="349">
        <v>0</v>
      </c>
      <c r="AB8" s="348"/>
      <c r="AC8" s="349">
        <v>0</v>
      </c>
      <c r="AD8" s="348"/>
      <c r="AE8" s="349">
        <v>0</v>
      </c>
      <c r="AF8" s="350"/>
    </row>
    <row r="9" spans="1:32" ht="17.649999999999999" x14ac:dyDescent="0.35">
      <c r="A9" s="864" t="s">
        <v>448</v>
      </c>
      <c r="B9" s="865"/>
      <c r="C9" s="866"/>
      <c r="D9" s="352"/>
      <c r="E9" s="352"/>
      <c r="F9" s="352"/>
      <c r="G9" s="353"/>
      <c r="H9" s="354">
        <v>14725350</v>
      </c>
      <c r="I9" s="353"/>
      <c r="J9" s="354">
        <v>0</v>
      </c>
      <c r="K9" s="353"/>
      <c r="L9" s="354">
        <v>0</v>
      </c>
      <c r="M9" s="353"/>
      <c r="N9" s="354">
        <v>0</v>
      </c>
      <c r="O9" s="353"/>
      <c r="P9" s="354">
        <v>0</v>
      </c>
      <c r="Q9" s="353"/>
      <c r="R9" s="354">
        <v>0</v>
      </c>
      <c r="S9" s="355"/>
      <c r="T9" s="356"/>
      <c r="U9" s="357">
        <v>15793500</v>
      </c>
      <c r="V9" s="356"/>
      <c r="W9" s="357">
        <v>0</v>
      </c>
      <c r="X9" s="356"/>
      <c r="Y9" s="357">
        <v>0</v>
      </c>
      <c r="Z9" s="356"/>
      <c r="AA9" s="357">
        <v>0</v>
      </c>
      <c r="AB9" s="356"/>
      <c r="AC9" s="357">
        <v>0</v>
      </c>
      <c r="AD9" s="356"/>
      <c r="AE9" s="357">
        <v>0</v>
      </c>
      <c r="AF9" s="358"/>
    </row>
    <row r="10" spans="1:32" ht="17.649999999999999" x14ac:dyDescent="0.35">
      <c r="A10" s="359" t="s">
        <v>507</v>
      </c>
      <c r="B10" s="360"/>
      <c r="C10" s="361" t="s">
        <v>508</v>
      </c>
      <c r="D10" s="361"/>
      <c r="E10" s="361"/>
      <c r="F10" s="361"/>
      <c r="G10" s="359"/>
      <c r="H10" s="362">
        <v>5950000</v>
      </c>
      <c r="I10" s="359"/>
      <c r="J10" s="362">
        <v>0</v>
      </c>
      <c r="K10" s="359"/>
      <c r="L10" s="362">
        <v>0</v>
      </c>
      <c r="M10" s="359"/>
      <c r="N10" s="362">
        <v>0</v>
      </c>
      <c r="O10" s="359"/>
      <c r="P10" s="362">
        <v>0</v>
      </c>
      <c r="Q10" s="359"/>
      <c r="R10" s="362">
        <v>0</v>
      </c>
      <c r="S10" s="363"/>
      <c r="T10" s="359"/>
      <c r="U10" s="362">
        <v>5950000</v>
      </c>
      <c r="V10" s="359"/>
      <c r="W10" s="362">
        <v>0</v>
      </c>
      <c r="X10" s="359"/>
      <c r="Y10" s="362">
        <v>0</v>
      </c>
      <c r="Z10" s="359"/>
      <c r="AA10" s="362">
        <v>0</v>
      </c>
      <c r="AB10" s="359"/>
      <c r="AC10" s="362">
        <v>0</v>
      </c>
      <c r="AD10" s="359"/>
      <c r="AE10" s="362">
        <v>0</v>
      </c>
      <c r="AF10" s="363"/>
    </row>
    <row r="11" spans="1:32" ht="35.25" collapsed="1" x14ac:dyDescent="0.35">
      <c r="A11" s="364"/>
      <c r="B11" s="360">
        <v>5020102000</v>
      </c>
      <c r="C11" s="365" t="s">
        <v>259</v>
      </c>
      <c r="D11" s="365"/>
      <c r="E11" s="365"/>
      <c r="F11" s="365"/>
      <c r="G11" s="359"/>
      <c r="H11" s="362">
        <v>50000</v>
      </c>
      <c r="I11" s="359"/>
      <c r="J11" s="362">
        <v>0</v>
      </c>
      <c r="K11" s="359"/>
      <c r="L11" s="362">
        <v>0</v>
      </c>
      <c r="M11" s="359"/>
      <c r="N11" s="362">
        <v>0</v>
      </c>
      <c r="O11" s="359"/>
      <c r="P11" s="362">
        <v>0</v>
      </c>
      <c r="Q11" s="359"/>
      <c r="R11" s="362">
        <v>0</v>
      </c>
      <c r="S11" s="363"/>
      <c r="T11" s="359"/>
      <c r="U11" s="362">
        <v>50000</v>
      </c>
      <c r="V11" s="359"/>
      <c r="W11" s="362">
        <v>0</v>
      </c>
      <c r="X11" s="359"/>
      <c r="Y11" s="362">
        <v>0</v>
      </c>
      <c r="Z11" s="359"/>
      <c r="AA11" s="362">
        <v>0</v>
      </c>
      <c r="AB11" s="359"/>
      <c r="AC11" s="362">
        <v>0</v>
      </c>
      <c r="AD11" s="359"/>
      <c r="AE11" s="362">
        <v>0</v>
      </c>
      <c r="AF11" s="363"/>
    </row>
    <row r="12" spans="1:32" ht="17.649999999999999" hidden="1" outlineLevel="1" collapsed="1" x14ac:dyDescent="0.35">
      <c r="A12" s="364"/>
      <c r="B12" s="360"/>
      <c r="C12" s="365"/>
      <c r="D12" s="360"/>
      <c r="E12" s="360" t="s">
        <v>509</v>
      </c>
      <c r="F12" s="365" t="s">
        <v>510</v>
      </c>
      <c r="G12" s="360"/>
      <c r="H12" s="366">
        <v>50000</v>
      </c>
      <c r="I12" s="360"/>
      <c r="J12" s="366">
        <v>0</v>
      </c>
      <c r="K12" s="360"/>
      <c r="L12" s="366">
        <v>0</v>
      </c>
      <c r="M12" s="360"/>
      <c r="N12" s="366">
        <v>0</v>
      </c>
      <c r="O12" s="360"/>
      <c r="P12" s="366">
        <v>0</v>
      </c>
      <c r="Q12" s="360"/>
      <c r="R12" s="366">
        <v>0</v>
      </c>
      <c r="S12" s="367" t="s">
        <v>511</v>
      </c>
      <c r="T12" s="360"/>
      <c r="U12" s="366">
        <v>50000</v>
      </c>
      <c r="V12" s="360"/>
      <c r="W12" s="366">
        <v>0</v>
      </c>
      <c r="X12" s="360"/>
      <c r="Y12" s="366">
        <v>0</v>
      </c>
      <c r="Z12" s="360"/>
      <c r="AA12" s="366">
        <v>0</v>
      </c>
      <c r="AB12" s="360"/>
      <c r="AC12" s="366">
        <v>0</v>
      </c>
      <c r="AD12" s="360"/>
      <c r="AE12" s="366">
        <v>0</v>
      </c>
      <c r="AF12" s="367"/>
    </row>
    <row r="13" spans="1:32" ht="17.649999999999999" collapsed="1" x14ac:dyDescent="0.35">
      <c r="A13" s="364"/>
      <c r="B13" s="360" t="s">
        <v>267</v>
      </c>
      <c r="C13" s="365" t="s">
        <v>268</v>
      </c>
      <c r="D13" s="365"/>
      <c r="E13" s="365"/>
      <c r="F13" s="365"/>
      <c r="G13" s="359"/>
      <c r="H13" s="362">
        <v>5900000</v>
      </c>
      <c r="I13" s="359"/>
      <c r="J13" s="362">
        <v>0</v>
      </c>
      <c r="K13" s="359"/>
      <c r="L13" s="362">
        <v>0</v>
      </c>
      <c r="M13" s="359"/>
      <c r="N13" s="362">
        <v>0</v>
      </c>
      <c r="O13" s="359"/>
      <c r="P13" s="362">
        <v>0</v>
      </c>
      <c r="Q13" s="359"/>
      <c r="R13" s="362">
        <v>0</v>
      </c>
      <c r="S13" s="363"/>
      <c r="T13" s="359"/>
      <c r="U13" s="362">
        <v>5900000</v>
      </c>
      <c r="V13" s="359"/>
      <c r="W13" s="362">
        <v>0</v>
      </c>
      <c r="X13" s="359"/>
      <c r="Y13" s="362">
        <v>0</v>
      </c>
      <c r="Z13" s="359"/>
      <c r="AA13" s="362">
        <v>0</v>
      </c>
      <c r="AB13" s="359"/>
      <c r="AC13" s="362">
        <v>0</v>
      </c>
      <c r="AD13" s="359"/>
      <c r="AE13" s="362">
        <v>0</v>
      </c>
      <c r="AF13" s="363"/>
    </row>
    <row r="14" spans="1:32" ht="141" hidden="1" outlineLevel="1" collapsed="1" x14ac:dyDescent="0.35">
      <c r="A14" s="364"/>
      <c r="B14" s="360"/>
      <c r="C14" s="365"/>
      <c r="D14" s="360"/>
      <c r="E14" s="360" t="s">
        <v>509</v>
      </c>
      <c r="F14" s="365" t="s">
        <v>510</v>
      </c>
      <c r="G14" s="360"/>
      <c r="H14" s="366">
        <v>5900000</v>
      </c>
      <c r="I14" s="360"/>
      <c r="J14" s="366">
        <v>0</v>
      </c>
      <c r="K14" s="360"/>
      <c r="L14" s="366">
        <v>0</v>
      </c>
      <c r="M14" s="360"/>
      <c r="N14" s="366">
        <v>0</v>
      </c>
      <c r="O14" s="360"/>
      <c r="P14" s="366">
        <v>0</v>
      </c>
      <c r="Q14" s="360"/>
      <c r="R14" s="366">
        <v>0</v>
      </c>
      <c r="S14" s="367" t="s">
        <v>512</v>
      </c>
      <c r="T14" s="360"/>
      <c r="U14" s="366">
        <v>5900000</v>
      </c>
      <c r="V14" s="360"/>
      <c r="W14" s="366">
        <v>0</v>
      </c>
      <c r="X14" s="360"/>
      <c r="Y14" s="366">
        <v>0</v>
      </c>
      <c r="Z14" s="360"/>
      <c r="AA14" s="366">
        <v>0</v>
      </c>
      <c r="AB14" s="360"/>
      <c r="AC14" s="366">
        <v>0</v>
      </c>
      <c r="AD14" s="360"/>
      <c r="AE14" s="366">
        <v>0</v>
      </c>
      <c r="AF14" s="367"/>
    </row>
    <row r="15" spans="1:32" ht="17.649999999999999" x14ac:dyDescent="0.35">
      <c r="A15" s="359" t="s">
        <v>275</v>
      </c>
      <c r="B15" s="360"/>
      <c r="C15" s="361" t="s">
        <v>277</v>
      </c>
      <c r="D15" s="361"/>
      <c r="E15" s="361"/>
      <c r="F15" s="361"/>
      <c r="G15" s="359"/>
      <c r="H15" s="362">
        <v>6650000</v>
      </c>
      <c r="I15" s="359"/>
      <c r="J15" s="362">
        <v>0</v>
      </c>
      <c r="K15" s="359"/>
      <c r="L15" s="362">
        <v>0</v>
      </c>
      <c r="M15" s="359"/>
      <c r="N15" s="362">
        <v>0</v>
      </c>
      <c r="O15" s="359"/>
      <c r="P15" s="362">
        <v>0</v>
      </c>
      <c r="Q15" s="359"/>
      <c r="R15" s="362">
        <v>0</v>
      </c>
      <c r="S15" s="363"/>
      <c r="T15" s="359"/>
      <c r="U15" s="362">
        <v>7698100</v>
      </c>
      <c r="V15" s="359"/>
      <c r="W15" s="362">
        <v>0</v>
      </c>
      <c r="X15" s="359"/>
      <c r="Y15" s="362">
        <v>0</v>
      </c>
      <c r="Z15" s="359"/>
      <c r="AA15" s="362">
        <v>0</v>
      </c>
      <c r="AB15" s="359"/>
      <c r="AC15" s="362">
        <v>0</v>
      </c>
      <c r="AD15" s="359"/>
      <c r="AE15" s="362">
        <v>0</v>
      </c>
      <c r="AF15" s="363"/>
    </row>
    <row r="16" spans="1:32" ht="17.649999999999999" collapsed="1" x14ac:dyDescent="0.35">
      <c r="A16" s="364"/>
      <c r="B16" s="360" t="s">
        <v>276</v>
      </c>
      <c r="C16" s="365" t="s">
        <v>277</v>
      </c>
      <c r="D16" s="365"/>
      <c r="E16" s="365"/>
      <c r="F16" s="365"/>
      <c r="G16" s="359"/>
      <c r="H16" s="362">
        <v>6650000</v>
      </c>
      <c r="I16" s="359"/>
      <c r="J16" s="362">
        <v>0</v>
      </c>
      <c r="K16" s="359"/>
      <c r="L16" s="362">
        <v>0</v>
      </c>
      <c r="M16" s="359"/>
      <c r="N16" s="362">
        <v>0</v>
      </c>
      <c r="O16" s="359"/>
      <c r="P16" s="362">
        <v>0</v>
      </c>
      <c r="Q16" s="359"/>
      <c r="R16" s="362">
        <v>0</v>
      </c>
      <c r="S16" s="363"/>
      <c r="T16" s="359"/>
      <c r="U16" s="362">
        <v>7698100</v>
      </c>
      <c r="V16" s="359"/>
      <c r="W16" s="362">
        <v>0</v>
      </c>
      <c r="X16" s="359"/>
      <c r="Y16" s="362">
        <v>0</v>
      </c>
      <c r="Z16" s="359"/>
      <c r="AA16" s="362">
        <v>0</v>
      </c>
      <c r="AB16" s="359"/>
      <c r="AC16" s="362">
        <v>0</v>
      </c>
      <c r="AD16" s="359"/>
      <c r="AE16" s="362">
        <v>0</v>
      </c>
      <c r="AF16" s="363"/>
    </row>
    <row r="17" spans="1:32" ht="35.25" hidden="1" outlineLevel="1" collapsed="1" x14ac:dyDescent="0.35">
      <c r="A17" s="364"/>
      <c r="B17" s="360"/>
      <c r="C17" s="365"/>
      <c r="D17" s="360"/>
      <c r="E17" s="360" t="s">
        <v>509</v>
      </c>
      <c r="F17" s="365" t="s">
        <v>510</v>
      </c>
      <c r="G17" s="360"/>
      <c r="H17" s="366">
        <v>6650000</v>
      </c>
      <c r="I17" s="360"/>
      <c r="J17" s="366">
        <v>0</v>
      </c>
      <c r="K17" s="360"/>
      <c r="L17" s="366">
        <v>0</v>
      </c>
      <c r="M17" s="360"/>
      <c r="N17" s="366">
        <v>0</v>
      </c>
      <c r="O17" s="360"/>
      <c r="P17" s="366">
        <v>0</v>
      </c>
      <c r="Q17" s="360"/>
      <c r="R17" s="366">
        <v>0</v>
      </c>
      <c r="S17" s="367" t="s">
        <v>513</v>
      </c>
      <c r="T17" s="360"/>
      <c r="U17" s="366">
        <v>6650000</v>
      </c>
      <c r="V17" s="360"/>
      <c r="W17" s="366">
        <v>0</v>
      </c>
      <c r="X17" s="360"/>
      <c r="Y17" s="366">
        <v>0</v>
      </c>
      <c r="Z17" s="360"/>
      <c r="AA17" s="366">
        <v>0</v>
      </c>
      <c r="AB17" s="360"/>
      <c r="AC17" s="366">
        <v>0</v>
      </c>
      <c r="AD17" s="360"/>
      <c r="AE17" s="366">
        <v>0</v>
      </c>
      <c r="AF17" s="367"/>
    </row>
    <row r="18" spans="1:32" ht="88.15" hidden="1" outlineLevel="1" collapsed="1" x14ac:dyDescent="0.35">
      <c r="A18" s="364"/>
      <c r="B18" s="360"/>
      <c r="C18" s="365"/>
      <c r="D18" s="360"/>
      <c r="E18" s="360" t="s">
        <v>509</v>
      </c>
      <c r="F18" s="365" t="s">
        <v>514</v>
      </c>
      <c r="G18" s="360"/>
      <c r="H18" s="366">
        <v>0</v>
      </c>
      <c r="I18" s="360"/>
      <c r="J18" s="366">
        <v>0</v>
      </c>
      <c r="K18" s="360"/>
      <c r="L18" s="366">
        <v>0</v>
      </c>
      <c r="M18" s="360"/>
      <c r="N18" s="366">
        <v>0</v>
      </c>
      <c r="O18" s="360"/>
      <c r="P18" s="366">
        <v>0</v>
      </c>
      <c r="Q18" s="360"/>
      <c r="R18" s="366">
        <v>0</v>
      </c>
      <c r="S18" s="367"/>
      <c r="T18" s="360"/>
      <c r="U18" s="366">
        <v>1048100</v>
      </c>
      <c r="V18" s="360"/>
      <c r="W18" s="366">
        <v>0</v>
      </c>
      <c r="X18" s="360"/>
      <c r="Y18" s="366">
        <v>0</v>
      </c>
      <c r="Z18" s="360"/>
      <c r="AA18" s="366">
        <v>0</v>
      </c>
      <c r="AB18" s="360"/>
      <c r="AC18" s="366">
        <v>0</v>
      </c>
      <c r="AD18" s="360"/>
      <c r="AE18" s="366">
        <v>0</v>
      </c>
      <c r="AF18" s="367" t="s">
        <v>515</v>
      </c>
    </row>
    <row r="19" spans="1:32" ht="17.649999999999999" x14ac:dyDescent="0.35">
      <c r="A19" s="359" t="s">
        <v>280</v>
      </c>
      <c r="B19" s="360"/>
      <c r="C19" s="361" t="s">
        <v>516</v>
      </c>
      <c r="D19" s="361"/>
      <c r="E19" s="361"/>
      <c r="F19" s="361"/>
      <c r="G19" s="359"/>
      <c r="H19" s="362">
        <v>457850</v>
      </c>
      <c r="I19" s="359"/>
      <c r="J19" s="362">
        <v>0</v>
      </c>
      <c r="K19" s="359"/>
      <c r="L19" s="362">
        <v>0</v>
      </c>
      <c r="M19" s="359"/>
      <c r="N19" s="362">
        <v>0</v>
      </c>
      <c r="O19" s="359"/>
      <c r="P19" s="362">
        <v>0</v>
      </c>
      <c r="Q19" s="359"/>
      <c r="R19" s="362">
        <v>0</v>
      </c>
      <c r="S19" s="363"/>
      <c r="T19" s="359"/>
      <c r="U19" s="362">
        <v>457900</v>
      </c>
      <c r="V19" s="359"/>
      <c r="W19" s="362">
        <v>0</v>
      </c>
      <c r="X19" s="359"/>
      <c r="Y19" s="362">
        <v>0</v>
      </c>
      <c r="Z19" s="359"/>
      <c r="AA19" s="362">
        <v>0</v>
      </c>
      <c r="AB19" s="359"/>
      <c r="AC19" s="362">
        <v>0</v>
      </c>
      <c r="AD19" s="359"/>
      <c r="AE19" s="362">
        <v>0</v>
      </c>
      <c r="AF19" s="363"/>
    </row>
    <row r="20" spans="1:32" ht="17.649999999999999" collapsed="1" x14ac:dyDescent="0.35">
      <c r="A20" s="364"/>
      <c r="B20" s="360" t="s">
        <v>517</v>
      </c>
      <c r="C20" s="365" t="s">
        <v>281</v>
      </c>
      <c r="D20" s="365"/>
      <c r="E20" s="365"/>
      <c r="F20" s="365"/>
      <c r="G20" s="359"/>
      <c r="H20" s="362">
        <v>457850</v>
      </c>
      <c r="I20" s="359"/>
      <c r="J20" s="362">
        <v>0</v>
      </c>
      <c r="K20" s="359"/>
      <c r="L20" s="362">
        <v>0</v>
      </c>
      <c r="M20" s="359"/>
      <c r="N20" s="362">
        <v>0</v>
      </c>
      <c r="O20" s="359"/>
      <c r="P20" s="362">
        <v>0</v>
      </c>
      <c r="Q20" s="359"/>
      <c r="R20" s="362">
        <v>0</v>
      </c>
      <c r="S20" s="363"/>
      <c r="T20" s="359"/>
      <c r="U20" s="362">
        <v>457900</v>
      </c>
      <c r="V20" s="359"/>
      <c r="W20" s="362">
        <v>0</v>
      </c>
      <c r="X20" s="359"/>
      <c r="Y20" s="362">
        <v>0</v>
      </c>
      <c r="Z20" s="359"/>
      <c r="AA20" s="362">
        <v>0</v>
      </c>
      <c r="AB20" s="359"/>
      <c r="AC20" s="362">
        <v>0</v>
      </c>
      <c r="AD20" s="359"/>
      <c r="AE20" s="362">
        <v>0</v>
      </c>
      <c r="AF20" s="363"/>
    </row>
    <row r="21" spans="1:32" ht="123.4" hidden="1" outlineLevel="1" collapsed="1" x14ac:dyDescent="0.35">
      <c r="A21" s="364"/>
      <c r="B21" s="360"/>
      <c r="C21" s="365"/>
      <c r="D21" s="360"/>
      <c r="E21" s="360" t="s">
        <v>509</v>
      </c>
      <c r="F21" s="365" t="s">
        <v>510</v>
      </c>
      <c r="G21" s="360"/>
      <c r="H21" s="366">
        <v>457850</v>
      </c>
      <c r="I21" s="360"/>
      <c r="J21" s="366">
        <v>0</v>
      </c>
      <c r="K21" s="360"/>
      <c r="L21" s="366">
        <v>0</v>
      </c>
      <c r="M21" s="360"/>
      <c r="N21" s="366">
        <v>0</v>
      </c>
      <c r="O21" s="360"/>
      <c r="P21" s="366">
        <v>0</v>
      </c>
      <c r="Q21" s="360"/>
      <c r="R21" s="366">
        <v>0</v>
      </c>
      <c r="S21" s="367" t="s">
        <v>518</v>
      </c>
      <c r="T21" s="360"/>
      <c r="U21" s="366">
        <v>457900</v>
      </c>
      <c r="V21" s="360"/>
      <c r="W21" s="366">
        <v>0</v>
      </c>
      <c r="X21" s="360"/>
      <c r="Y21" s="366">
        <v>0</v>
      </c>
      <c r="Z21" s="360"/>
      <c r="AA21" s="366">
        <v>0</v>
      </c>
      <c r="AB21" s="360"/>
      <c r="AC21" s="366">
        <v>0</v>
      </c>
      <c r="AD21" s="360"/>
      <c r="AE21" s="366">
        <v>0</v>
      </c>
      <c r="AF21" s="367"/>
    </row>
    <row r="22" spans="1:32" ht="35.25" x14ac:dyDescent="0.35">
      <c r="A22" s="359" t="s">
        <v>285</v>
      </c>
      <c r="B22" s="360"/>
      <c r="C22" s="361" t="s">
        <v>519</v>
      </c>
      <c r="D22" s="361"/>
      <c r="E22" s="361"/>
      <c r="F22" s="361"/>
      <c r="G22" s="359"/>
      <c r="H22" s="362">
        <v>145000</v>
      </c>
      <c r="I22" s="359"/>
      <c r="J22" s="362">
        <v>0</v>
      </c>
      <c r="K22" s="359"/>
      <c r="L22" s="362">
        <v>0</v>
      </c>
      <c r="M22" s="359"/>
      <c r="N22" s="362">
        <v>0</v>
      </c>
      <c r="O22" s="359"/>
      <c r="P22" s="362">
        <v>0</v>
      </c>
      <c r="Q22" s="359"/>
      <c r="R22" s="362">
        <v>0</v>
      </c>
      <c r="S22" s="363"/>
      <c r="T22" s="359"/>
      <c r="U22" s="362">
        <v>165000</v>
      </c>
      <c r="V22" s="359"/>
      <c r="W22" s="362">
        <v>0</v>
      </c>
      <c r="X22" s="359"/>
      <c r="Y22" s="362">
        <v>0</v>
      </c>
      <c r="Z22" s="359"/>
      <c r="AA22" s="362">
        <v>0</v>
      </c>
      <c r="AB22" s="359"/>
      <c r="AC22" s="362">
        <v>0</v>
      </c>
      <c r="AD22" s="359"/>
      <c r="AE22" s="362">
        <v>0</v>
      </c>
      <c r="AF22" s="363"/>
    </row>
    <row r="23" spans="1:32" ht="35.25" collapsed="1" x14ac:dyDescent="0.35">
      <c r="A23" s="364"/>
      <c r="B23" s="360" t="s">
        <v>286</v>
      </c>
      <c r="C23" s="365" t="s">
        <v>520</v>
      </c>
      <c r="D23" s="365"/>
      <c r="E23" s="365"/>
      <c r="F23" s="365"/>
      <c r="G23" s="359"/>
      <c r="H23" s="362">
        <v>145000</v>
      </c>
      <c r="I23" s="359"/>
      <c r="J23" s="362">
        <v>0</v>
      </c>
      <c r="K23" s="359"/>
      <c r="L23" s="362">
        <v>0</v>
      </c>
      <c r="M23" s="359"/>
      <c r="N23" s="362">
        <v>0</v>
      </c>
      <c r="O23" s="359"/>
      <c r="P23" s="362">
        <v>0</v>
      </c>
      <c r="Q23" s="359"/>
      <c r="R23" s="362">
        <v>0</v>
      </c>
      <c r="S23" s="363"/>
      <c r="T23" s="359"/>
      <c r="U23" s="362">
        <v>165000</v>
      </c>
      <c r="V23" s="359"/>
      <c r="W23" s="362">
        <v>0</v>
      </c>
      <c r="X23" s="359"/>
      <c r="Y23" s="362">
        <v>0</v>
      </c>
      <c r="Z23" s="359"/>
      <c r="AA23" s="362">
        <v>0</v>
      </c>
      <c r="AB23" s="359"/>
      <c r="AC23" s="362">
        <v>0</v>
      </c>
      <c r="AD23" s="359"/>
      <c r="AE23" s="362">
        <v>0</v>
      </c>
      <c r="AF23" s="363"/>
    </row>
    <row r="24" spans="1:32" ht="35.25" hidden="1" outlineLevel="1" collapsed="1" x14ac:dyDescent="0.35">
      <c r="A24" s="364"/>
      <c r="B24" s="360"/>
      <c r="C24" s="365"/>
      <c r="D24" s="360"/>
      <c r="E24" s="360" t="s">
        <v>509</v>
      </c>
      <c r="F24" s="365" t="s">
        <v>514</v>
      </c>
      <c r="G24" s="360"/>
      <c r="H24" s="366">
        <v>145000</v>
      </c>
      <c r="I24" s="360"/>
      <c r="J24" s="366">
        <v>0</v>
      </c>
      <c r="K24" s="360"/>
      <c r="L24" s="366">
        <v>0</v>
      </c>
      <c r="M24" s="360"/>
      <c r="N24" s="366">
        <v>0</v>
      </c>
      <c r="O24" s="360"/>
      <c r="P24" s="366">
        <v>0</v>
      </c>
      <c r="Q24" s="360"/>
      <c r="R24" s="366">
        <v>0</v>
      </c>
      <c r="S24" s="367" t="s">
        <v>521</v>
      </c>
      <c r="T24" s="360"/>
      <c r="U24" s="366">
        <v>165000</v>
      </c>
      <c r="V24" s="360"/>
      <c r="W24" s="366">
        <v>0</v>
      </c>
      <c r="X24" s="360"/>
      <c r="Y24" s="366">
        <v>0</v>
      </c>
      <c r="Z24" s="360"/>
      <c r="AA24" s="366">
        <v>0</v>
      </c>
      <c r="AB24" s="360"/>
      <c r="AC24" s="366">
        <v>0</v>
      </c>
      <c r="AD24" s="360"/>
      <c r="AE24" s="366">
        <v>0</v>
      </c>
      <c r="AF24" s="367" t="s">
        <v>522</v>
      </c>
    </row>
    <row r="25" spans="1:32" ht="35.25" x14ac:dyDescent="0.35">
      <c r="A25" s="359" t="s">
        <v>290</v>
      </c>
      <c r="B25" s="360"/>
      <c r="C25" s="361" t="s">
        <v>293</v>
      </c>
      <c r="D25" s="361"/>
      <c r="E25" s="361"/>
      <c r="F25" s="361"/>
      <c r="G25" s="359"/>
      <c r="H25" s="362">
        <v>1522500</v>
      </c>
      <c r="I25" s="359"/>
      <c r="J25" s="362">
        <v>0</v>
      </c>
      <c r="K25" s="359"/>
      <c r="L25" s="362">
        <v>0</v>
      </c>
      <c r="M25" s="359"/>
      <c r="N25" s="362">
        <v>0</v>
      </c>
      <c r="O25" s="359"/>
      <c r="P25" s="362">
        <v>0</v>
      </c>
      <c r="Q25" s="359"/>
      <c r="R25" s="362">
        <v>0</v>
      </c>
      <c r="S25" s="363"/>
      <c r="T25" s="359"/>
      <c r="U25" s="362">
        <v>1522500</v>
      </c>
      <c r="V25" s="359"/>
      <c r="W25" s="362">
        <v>0</v>
      </c>
      <c r="X25" s="359"/>
      <c r="Y25" s="362">
        <v>0</v>
      </c>
      <c r="Z25" s="359"/>
      <c r="AA25" s="362">
        <v>0</v>
      </c>
      <c r="AB25" s="359"/>
      <c r="AC25" s="362">
        <v>0</v>
      </c>
      <c r="AD25" s="359"/>
      <c r="AE25" s="362">
        <v>0</v>
      </c>
      <c r="AF25" s="363"/>
    </row>
    <row r="26" spans="1:32" ht="35.25" collapsed="1" x14ac:dyDescent="0.35">
      <c r="A26" s="364"/>
      <c r="B26" s="360" t="s">
        <v>291</v>
      </c>
      <c r="C26" s="365" t="s">
        <v>292</v>
      </c>
      <c r="D26" s="365"/>
      <c r="E26" s="365"/>
      <c r="F26" s="365"/>
      <c r="G26" s="359"/>
      <c r="H26" s="362">
        <v>1522500</v>
      </c>
      <c r="I26" s="359"/>
      <c r="J26" s="362">
        <v>0</v>
      </c>
      <c r="K26" s="359"/>
      <c r="L26" s="362">
        <v>0</v>
      </c>
      <c r="M26" s="359"/>
      <c r="N26" s="362">
        <v>0</v>
      </c>
      <c r="O26" s="359"/>
      <c r="P26" s="362">
        <v>0</v>
      </c>
      <c r="Q26" s="359"/>
      <c r="R26" s="362">
        <v>0</v>
      </c>
      <c r="S26" s="363"/>
      <c r="T26" s="359"/>
      <c r="U26" s="362">
        <v>1522500</v>
      </c>
      <c r="V26" s="359"/>
      <c r="W26" s="362">
        <v>0</v>
      </c>
      <c r="X26" s="359"/>
      <c r="Y26" s="362">
        <v>0</v>
      </c>
      <c r="Z26" s="359"/>
      <c r="AA26" s="362">
        <v>0</v>
      </c>
      <c r="AB26" s="359"/>
      <c r="AC26" s="362">
        <v>0</v>
      </c>
      <c r="AD26" s="359"/>
      <c r="AE26" s="362">
        <v>0</v>
      </c>
      <c r="AF26" s="363"/>
    </row>
    <row r="27" spans="1:32" ht="35.25" hidden="1" outlineLevel="1" collapsed="1" x14ac:dyDescent="0.35">
      <c r="A27" s="364"/>
      <c r="B27" s="360"/>
      <c r="C27" s="365"/>
      <c r="D27" s="360"/>
      <c r="E27" s="360" t="s">
        <v>509</v>
      </c>
      <c r="F27" s="365" t="s">
        <v>514</v>
      </c>
      <c r="G27" s="360"/>
      <c r="H27" s="366">
        <v>1522500</v>
      </c>
      <c r="I27" s="360"/>
      <c r="J27" s="366">
        <v>0</v>
      </c>
      <c r="K27" s="360"/>
      <c r="L27" s="366">
        <v>0</v>
      </c>
      <c r="M27" s="360"/>
      <c r="N27" s="366">
        <v>0</v>
      </c>
      <c r="O27" s="360"/>
      <c r="P27" s="366">
        <v>0</v>
      </c>
      <c r="Q27" s="360"/>
      <c r="R27" s="366">
        <v>0</v>
      </c>
      <c r="S27" s="367" t="s">
        <v>523</v>
      </c>
      <c r="T27" s="360"/>
      <c r="U27" s="366">
        <v>1522500</v>
      </c>
      <c r="V27" s="360"/>
      <c r="W27" s="366">
        <v>0</v>
      </c>
      <c r="X27" s="360"/>
      <c r="Y27" s="366">
        <v>0</v>
      </c>
      <c r="Z27" s="360"/>
      <c r="AA27" s="366">
        <v>0</v>
      </c>
      <c r="AB27" s="360"/>
      <c r="AC27" s="366">
        <v>0</v>
      </c>
      <c r="AD27" s="360"/>
      <c r="AE27" s="366">
        <v>0</v>
      </c>
      <c r="AF27" s="367" t="s">
        <v>524</v>
      </c>
    </row>
    <row r="28" spans="1:32" ht="17.649999999999999" x14ac:dyDescent="0.35">
      <c r="A28" s="864" t="s">
        <v>452</v>
      </c>
      <c r="B28" s="865"/>
      <c r="C28" s="866"/>
      <c r="D28" s="352"/>
      <c r="E28" s="352"/>
      <c r="F28" s="352"/>
      <c r="G28" s="353"/>
      <c r="H28" s="354">
        <v>64833072</v>
      </c>
      <c r="I28" s="353"/>
      <c r="J28" s="354">
        <v>111231035</v>
      </c>
      <c r="K28" s="353"/>
      <c r="L28" s="354">
        <v>0</v>
      </c>
      <c r="M28" s="353"/>
      <c r="N28" s="354">
        <v>0</v>
      </c>
      <c r="O28" s="353"/>
      <c r="P28" s="354">
        <v>0</v>
      </c>
      <c r="Q28" s="353"/>
      <c r="R28" s="354">
        <v>0</v>
      </c>
      <c r="S28" s="355"/>
      <c r="T28" s="356"/>
      <c r="U28" s="357">
        <v>64663000</v>
      </c>
      <c r="V28" s="356"/>
      <c r="W28" s="357">
        <v>65511900</v>
      </c>
      <c r="X28" s="356"/>
      <c r="Y28" s="357">
        <v>0</v>
      </c>
      <c r="Z28" s="356"/>
      <c r="AA28" s="357">
        <v>0</v>
      </c>
      <c r="AB28" s="356"/>
      <c r="AC28" s="357">
        <v>0</v>
      </c>
      <c r="AD28" s="356"/>
      <c r="AE28" s="357">
        <v>0</v>
      </c>
      <c r="AF28" s="358"/>
    </row>
    <row r="29" spans="1:32" ht="35.25" x14ac:dyDescent="0.35">
      <c r="A29" s="359" t="s">
        <v>454</v>
      </c>
      <c r="B29" s="360"/>
      <c r="C29" s="361" t="s">
        <v>298</v>
      </c>
      <c r="D29" s="361"/>
      <c r="E29" s="361"/>
      <c r="F29" s="361"/>
      <c r="G29" s="359"/>
      <c r="H29" s="362">
        <v>55490000</v>
      </c>
      <c r="I29" s="359"/>
      <c r="J29" s="362">
        <v>109580000</v>
      </c>
      <c r="K29" s="359"/>
      <c r="L29" s="362">
        <v>0</v>
      </c>
      <c r="M29" s="359"/>
      <c r="N29" s="362">
        <v>0</v>
      </c>
      <c r="O29" s="359"/>
      <c r="P29" s="362">
        <v>0</v>
      </c>
      <c r="Q29" s="359"/>
      <c r="R29" s="362">
        <v>0</v>
      </c>
      <c r="S29" s="363"/>
      <c r="T29" s="359"/>
      <c r="U29" s="362">
        <v>55490000</v>
      </c>
      <c r="V29" s="359"/>
      <c r="W29" s="362">
        <v>63860000</v>
      </c>
      <c r="X29" s="359"/>
      <c r="Y29" s="362">
        <v>0</v>
      </c>
      <c r="Z29" s="359"/>
      <c r="AA29" s="362">
        <v>0</v>
      </c>
      <c r="AB29" s="359"/>
      <c r="AC29" s="362">
        <v>0</v>
      </c>
      <c r="AD29" s="359"/>
      <c r="AE29" s="362">
        <v>0</v>
      </c>
      <c r="AF29" s="363"/>
    </row>
    <row r="30" spans="1:32" ht="17.649999999999999" x14ac:dyDescent="0.35">
      <c r="A30" s="364"/>
      <c r="B30" s="360" t="s">
        <v>296</v>
      </c>
      <c r="C30" s="365" t="s">
        <v>297</v>
      </c>
      <c r="D30" s="365"/>
      <c r="E30" s="365"/>
      <c r="F30" s="365"/>
      <c r="G30" s="359"/>
      <c r="H30" s="362">
        <v>55490000</v>
      </c>
      <c r="I30" s="359"/>
      <c r="J30" s="362">
        <v>109580000</v>
      </c>
      <c r="K30" s="359"/>
      <c r="L30" s="362">
        <v>0</v>
      </c>
      <c r="M30" s="359"/>
      <c r="N30" s="362">
        <v>0</v>
      </c>
      <c r="O30" s="359"/>
      <c r="P30" s="362">
        <v>0</v>
      </c>
      <c r="Q30" s="359"/>
      <c r="R30" s="362">
        <v>0</v>
      </c>
      <c r="S30" s="363"/>
      <c r="T30" s="359"/>
      <c r="U30" s="362">
        <v>55490000</v>
      </c>
      <c r="V30" s="359"/>
      <c r="W30" s="362">
        <v>63860000</v>
      </c>
      <c r="X30" s="359"/>
      <c r="Y30" s="362">
        <v>0</v>
      </c>
      <c r="Z30" s="359"/>
      <c r="AA30" s="362">
        <v>0</v>
      </c>
      <c r="AB30" s="359"/>
      <c r="AC30" s="362">
        <v>0</v>
      </c>
      <c r="AD30" s="359"/>
      <c r="AE30" s="362">
        <v>0</v>
      </c>
      <c r="AF30" s="363"/>
    </row>
    <row r="31" spans="1:32" ht="22.05" customHeight="1" outlineLevel="1" collapsed="1" x14ac:dyDescent="0.35">
      <c r="A31" s="364"/>
      <c r="B31" s="360"/>
      <c r="C31" s="365"/>
      <c r="D31" s="360"/>
      <c r="E31" s="360" t="s">
        <v>509</v>
      </c>
      <c r="F31" s="365" t="s">
        <v>510</v>
      </c>
      <c r="G31" s="360"/>
      <c r="H31" s="366">
        <v>25020000</v>
      </c>
      <c r="I31" s="360"/>
      <c r="J31" s="366">
        <v>53740000</v>
      </c>
      <c r="K31" s="360"/>
      <c r="L31" s="366">
        <v>0</v>
      </c>
      <c r="M31" s="360"/>
      <c r="N31" s="366">
        <v>0</v>
      </c>
      <c r="O31" s="360"/>
      <c r="P31" s="366">
        <v>0</v>
      </c>
      <c r="Q31" s="360"/>
      <c r="R31" s="366">
        <v>0</v>
      </c>
      <c r="S31" s="367" t="s">
        <v>525</v>
      </c>
      <c r="T31" s="360"/>
      <c r="U31" s="366">
        <v>25020000</v>
      </c>
      <c r="V31" s="360"/>
      <c r="W31" s="366">
        <v>8020000</v>
      </c>
      <c r="X31" s="360"/>
      <c r="Y31" s="366">
        <v>0</v>
      </c>
      <c r="Z31" s="360"/>
      <c r="AA31" s="366">
        <v>0</v>
      </c>
      <c r="AB31" s="360"/>
      <c r="AC31" s="366">
        <v>0</v>
      </c>
      <c r="AD31" s="360"/>
      <c r="AE31" s="366">
        <v>0</v>
      </c>
      <c r="AF31" s="367" t="s">
        <v>526</v>
      </c>
    </row>
    <row r="32" spans="1:32" ht="20.2" customHeight="1" outlineLevel="1" collapsed="1" x14ac:dyDescent="0.35">
      <c r="A32" s="364"/>
      <c r="B32" s="360"/>
      <c r="C32" s="365"/>
      <c r="D32" s="360"/>
      <c r="E32" s="360" t="s">
        <v>509</v>
      </c>
      <c r="F32" s="365" t="s">
        <v>510</v>
      </c>
      <c r="G32" s="360"/>
      <c r="H32" s="366">
        <v>6100000</v>
      </c>
      <c r="I32" s="360"/>
      <c r="J32" s="366">
        <v>11380000</v>
      </c>
      <c r="K32" s="360"/>
      <c r="L32" s="366">
        <v>0</v>
      </c>
      <c r="M32" s="360"/>
      <c r="N32" s="366">
        <v>0</v>
      </c>
      <c r="O32" s="360"/>
      <c r="P32" s="366">
        <v>0</v>
      </c>
      <c r="Q32" s="360"/>
      <c r="R32" s="366">
        <v>0</v>
      </c>
      <c r="S32" s="367" t="s">
        <v>527</v>
      </c>
      <c r="T32" s="360"/>
      <c r="U32" s="366">
        <v>6100000</v>
      </c>
      <c r="V32" s="360"/>
      <c r="W32" s="366">
        <v>11380000</v>
      </c>
      <c r="X32" s="360"/>
      <c r="Y32" s="366">
        <v>0</v>
      </c>
      <c r="Z32" s="360"/>
      <c r="AA32" s="366">
        <v>0</v>
      </c>
      <c r="AB32" s="360"/>
      <c r="AC32" s="366">
        <v>0</v>
      </c>
      <c r="AD32" s="360"/>
      <c r="AE32" s="366">
        <v>0</v>
      </c>
      <c r="AF32" s="367" t="s">
        <v>528</v>
      </c>
    </row>
    <row r="33" spans="1:32" ht="22.05" customHeight="1" outlineLevel="1" collapsed="1" x14ac:dyDescent="0.35">
      <c r="A33" s="364"/>
      <c r="B33" s="360"/>
      <c r="C33" s="365"/>
      <c r="D33" s="360"/>
      <c r="E33" s="360" t="s">
        <v>509</v>
      </c>
      <c r="F33" s="365" t="s">
        <v>510</v>
      </c>
      <c r="G33" s="360"/>
      <c r="H33" s="366">
        <v>6170000</v>
      </c>
      <c r="I33" s="360"/>
      <c r="J33" s="366">
        <v>10240000</v>
      </c>
      <c r="K33" s="360"/>
      <c r="L33" s="366">
        <v>0</v>
      </c>
      <c r="M33" s="360"/>
      <c r="N33" s="366">
        <v>0</v>
      </c>
      <c r="O33" s="360"/>
      <c r="P33" s="366">
        <v>0</v>
      </c>
      <c r="Q33" s="360"/>
      <c r="R33" s="366">
        <v>0</v>
      </c>
      <c r="S33" s="367" t="s">
        <v>529</v>
      </c>
      <c r="T33" s="360"/>
      <c r="U33" s="366">
        <v>6170000</v>
      </c>
      <c r="V33" s="360"/>
      <c r="W33" s="366">
        <v>10240000</v>
      </c>
      <c r="X33" s="360"/>
      <c r="Y33" s="366">
        <v>0</v>
      </c>
      <c r="Z33" s="360"/>
      <c r="AA33" s="366">
        <v>0</v>
      </c>
      <c r="AB33" s="360"/>
      <c r="AC33" s="366">
        <v>0</v>
      </c>
      <c r="AD33" s="360"/>
      <c r="AE33" s="366">
        <v>0</v>
      </c>
      <c r="AF33" s="367" t="s">
        <v>530</v>
      </c>
    </row>
    <row r="34" spans="1:32" ht="24.7" customHeight="1" outlineLevel="1" collapsed="1" x14ac:dyDescent="0.35">
      <c r="A34" s="364"/>
      <c r="B34" s="360"/>
      <c r="C34" s="365"/>
      <c r="D34" s="360"/>
      <c r="E34" s="360" t="s">
        <v>509</v>
      </c>
      <c r="F34" s="365" t="s">
        <v>510</v>
      </c>
      <c r="G34" s="360"/>
      <c r="H34" s="366">
        <v>6200000</v>
      </c>
      <c r="I34" s="360"/>
      <c r="J34" s="366">
        <v>11550000</v>
      </c>
      <c r="K34" s="360"/>
      <c r="L34" s="366">
        <v>0</v>
      </c>
      <c r="M34" s="360"/>
      <c r="N34" s="366">
        <v>0</v>
      </c>
      <c r="O34" s="360"/>
      <c r="P34" s="366">
        <v>0</v>
      </c>
      <c r="Q34" s="360"/>
      <c r="R34" s="366">
        <v>0</v>
      </c>
      <c r="S34" s="367" t="s">
        <v>531</v>
      </c>
      <c r="T34" s="360"/>
      <c r="U34" s="366">
        <v>6200000</v>
      </c>
      <c r="V34" s="360"/>
      <c r="W34" s="366">
        <v>11550000</v>
      </c>
      <c r="X34" s="360"/>
      <c r="Y34" s="366">
        <v>0</v>
      </c>
      <c r="Z34" s="360"/>
      <c r="AA34" s="366">
        <v>0</v>
      </c>
      <c r="AB34" s="360"/>
      <c r="AC34" s="366">
        <v>0</v>
      </c>
      <c r="AD34" s="360"/>
      <c r="AE34" s="366">
        <v>0</v>
      </c>
      <c r="AF34" s="367" t="s">
        <v>532</v>
      </c>
    </row>
    <row r="35" spans="1:32" ht="18.7" customHeight="1" outlineLevel="1" collapsed="1" x14ac:dyDescent="0.35">
      <c r="A35" s="364"/>
      <c r="B35" s="360"/>
      <c r="C35" s="365"/>
      <c r="D35" s="360"/>
      <c r="E35" s="360" t="s">
        <v>509</v>
      </c>
      <c r="F35" s="365" t="s">
        <v>510</v>
      </c>
      <c r="G35" s="360"/>
      <c r="H35" s="366">
        <v>12000000</v>
      </c>
      <c r="I35" s="360"/>
      <c r="J35" s="366">
        <v>22670000</v>
      </c>
      <c r="K35" s="360"/>
      <c r="L35" s="366">
        <v>0</v>
      </c>
      <c r="M35" s="360"/>
      <c r="N35" s="366">
        <v>0</v>
      </c>
      <c r="O35" s="360"/>
      <c r="P35" s="366">
        <v>0</v>
      </c>
      <c r="Q35" s="360"/>
      <c r="R35" s="366">
        <v>0</v>
      </c>
      <c r="S35" s="367" t="s">
        <v>533</v>
      </c>
      <c r="T35" s="360"/>
      <c r="U35" s="366">
        <v>12000000</v>
      </c>
      <c r="V35" s="360"/>
      <c r="W35" s="366">
        <v>22670000</v>
      </c>
      <c r="X35" s="360"/>
      <c r="Y35" s="366">
        <v>0</v>
      </c>
      <c r="Z35" s="360"/>
      <c r="AA35" s="366">
        <v>0</v>
      </c>
      <c r="AB35" s="360"/>
      <c r="AC35" s="366">
        <v>0</v>
      </c>
      <c r="AD35" s="360"/>
      <c r="AE35" s="366">
        <v>0</v>
      </c>
      <c r="AF35" s="367" t="s">
        <v>534</v>
      </c>
    </row>
    <row r="36" spans="1:32" ht="17.649999999999999" x14ac:dyDescent="0.35">
      <c r="A36" s="359" t="s">
        <v>301</v>
      </c>
      <c r="B36" s="360"/>
      <c r="C36" s="361" t="s">
        <v>535</v>
      </c>
      <c r="D36" s="361"/>
      <c r="E36" s="361"/>
      <c r="F36" s="361"/>
      <c r="G36" s="359"/>
      <c r="H36" s="362">
        <v>4372900</v>
      </c>
      <c r="I36" s="359"/>
      <c r="J36" s="362">
        <v>0</v>
      </c>
      <c r="K36" s="359"/>
      <c r="L36" s="362">
        <v>0</v>
      </c>
      <c r="M36" s="359"/>
      <c r="N36" s="362">
        <v>0</v>
      </c>
      <c r="O36" s="359"/>
      <c r="P36" s="362">
        <v>0</v>
      </c>
      <c r="Q36" s="359"/>
      <c r="R36" s="362">
        <v>0</v>
      </c>
      <c r="S36" s="363"/>
      <c r="T36" s="359"/>
      <c r="U36" s="362">
        <v>4372900</v>
      </c>
      <c r="V36" s="359"/>
      <c r="W36" s="362">
        <v>0</v>
      </c>
      <c r="X36" s="359"/>
      <c r="Y36" s="362">
        <v>0</v>
      </c>
      <c r="Z36" s="359"/>
      <c r="AA36" s="362">
        <v>0</v>
      </c>
      <c r="AB36" s="359"/>
      <c r="AC36" s="362">
        <v>0</v>
      </c>
      <c r="AD36" s="359"/>
      <c r="AE36" s="362">
        <v>0</v>
      </c>
      <c r="AF36" s="363"/>
    </row>
    <row r="37" spans="1:32" ht="17.649999999999999" collapsed="1" x14ac:dyDescent="0.35">
      <c r="A37" s="364"/>
      <c r="B37" s="360" t="s">
        <v>536</v>
      </c>
      <c r="C37" s="365" t="s">
        <v>302</v>
      </c>
      <c r="D37" s="365"/>
      <c r="E37" s="365"/>
      <c r="F37" s="365"/>
      <c r="G37" s="359"/>
      <c r="H37" s="362">
        <v>31000</v>
      </c>
      <c r="I37" s="359"/>
      <c r="J37" s="362">
        <v>0</v>
      </c>
      <c r="K37" s="359"/>
      <c r="L37" s="362">
        <v>0</v>
      </c>
      <c r="M37" s="359"/>
      <c r="N37" s="362">
        <v>0</v>
      </c>
      <c r="O37" s="359"/>
      <c r="P37" s="362">
        <v>0</v>
      </c>
      <c r="Q37" s="359"/>
      <c r="R37" s="362">
        <v>0</v>
      </c>
      <c r="S37" s="363"/>
      <c r="T37" s="359"/>
      <c r="U37" s="362">
        <v>31000</v>
      </c>
      <c r="V37" s="359"/>
      <c r="W37" s="362">
        <v>0</v>
      </c>
      <c r="X37" s="359"/>
      <c r="Y37" s="362">
        <v>0</v>
      </c>
      <c r="Z37" s="359"/>
      <c r="AA37" s="362">
        <v>0</v>
      </c>
      <c r="AB37" s="359"/>
      <c r="AC37" s="362">
        <v>0</v>
      </c>
      <c r="AD37" s="359"/>
      <c r="AE37" s="362">
        <v>0</v>
      </c>
      <c r="AF37" s="363"/>
    </row>
    <row r="38" spans="1:32" ht="141" hidden="1" outlineLevel="1" collapsed="1" x14ac:dyDescent="0.35">
      <c r="A38" s="364"/>
      <c r="B38" s="360"/>
      <c r="C38" s="365"/>
      <c r="D38" s="360"/>
      <c r="E38" s="360" t="s">
        <v>509</v>
      </c>
      <c r="F38" s="365" t="s">
        <v>510</v>
      </c>
      <c r="G38" s="360"/>
      <c r="H38" s="366">
        <v>31000</v>
      </c>
      <c r="I38" s="360"/>
      <c r="J38" s="366">
        <v>0</v>
      </c>
      <c r="K38" s="360"/>
      <c r="L38" s="366">
        <v>0</v>
      </c>
      <c r="M38" s="360"/>
      <c r="N38" s="366">
        <v>0</v>
      </c>
      <c r="O38" s="360"/>
      <c r="P38" s="366">
        <v>0</v>
      </c>
      <c r="Q38" s="360"/>
      <c r="R38" s="366">
        <v>0</v>
      </c>
      <c r="S38" s="367" t="s">
        <v>537</v>
      </c>
      <c r="T38" s="360"/>
      <c r="U38" s="366">
        <v>31000</v>
      </c>
      <c r="V38" s="360"/>
      <c r="W38" s="366">
        <v>0</v>
      </c>
      <c r="X38" s="360"/>
      <c r="Y38" s="366">
        <v>0</v>
      </c>
      <c r="Z38" s="360"/>
      <c r="AA38" s="366">
        <v>0</v>
      </c>
      <c r="AB38" s="360"/>
      <c r="AC38" s="366">
        <v>0</v>
      </c>
      <c r="AD38" s="360"/>
      <c r="AE38" s="366">
        <v>0</v>
      </c>
      <c r="AF38" s="367"/>
    </row>
    <row r="39" spans="1:32" ht="17.649999999999999" collapsed="1" x14ac:dyDescent="0.35">
      <c r="A39" s="364"/>
      <c r="B39" s="360" t="s">
        <v>308</v>
      </c>
      <c r="C39" s="365" t="s">
        <v>309</v>
      </c>
      <c r="D39" s="365"/>
      <c r="E39" s="365"/>
      <c r="F39" s="365"/>
      <c r="G39" s="359"/>
      <c r="H39" s="362">
        <v>4341900</v>
      </c>
      <c r="I39" s="359"/>
      <c r="J39" s="362">
        <v>0</v>
      </c>
      <c r="K39" s="359"/>
      <c r="L39" s="362">
        <v>0</v>
      </c>
      <c r="M39" s="359"/>
      <c r="N39" s="362">
        <v>0</v>
      </c>
      <c r="O39" s="359"/>
      <c r="P39" s="362">
        <v>0</v>
      </c>
      <c r="Q39" s="359"/>
      <c r="R39" s="362">
        <v>0</v>
      </c>
      <c r="S39" s="363"/>
      <c r="T39" s="359"/>
      <c r="U39" s="362">
        <v>4341900</v>
      </c>
      <c r="V39" s="359"/>
      <c r="W39" s="362">
        <v>0</v>
      </c>
      <c r="X39" s="359"/>
      <c r="Y39" s="362">
        <v>0</v>
      </c>
      <c r="Z39" s="359"/>
      <c r="AA39" s="362">
        <v>0</v>
      </c>
      <c r="AB39" s="359"/>
      <c r="AC39" s="362">
        <v>0</v>
      </c>
      <c r="AD39" s="359"/>
      <c r="AE39" s="362">
        <v>0</v>
      </c>
      <c r="AF39" s="363"/>
    </row>
    <row r="40" spans="1:32" ht="17.649999999999999" hidden="1" outlineLevel="1" collapsed="1" x14ac:dyDescent="0.35">
      <c r="A40" s="364"/>
      <c r="B40" s="360"/>
      <c r="C40" s="365"/>
      <c r="D40" s="360"/>
      <c r="E40" s="360" t="s">
        <v>509</v>
      </c>
      <c r="F40" s="365" t="s">
        <v>510</v>
      </c>
      <c r="G40" s="360"/>
      <c r="H40" s="366">
        <v>4341900</v>
      </c>
      <c r="I40" s="360"/>
      <c r="J40" s="366">
        <v>0</v>
      </c>
      <c r="K40" s="360"/>
      <c r="L40" s="366">
        <v>0</v>
      </c>
      <c r="M40" s="360"/>
      <c r="N40" s="366">
        <v>0</v>
      </c>
      <c r="O40" s="360"/>
      <c r="P40" s="366">
        <v>0</v>
      </c>
      <c r="Q40" s="360"/>
      <c r="R40" s="366">
        <v>0</v>
      </c>
      <c r="S40" s="367" t="s">
        <v>538</v>
      </c>
      <c r="T40" s="360"/>
      <c r="U40" s="366">
        <v>4341900</v>
      </c>
      <c r="V40" s="360"/>
      <c r="W40" s="366">
        <v>0</v>
      </c>
      <c r="X40" s="360"/>
      <c r="Y40" s="366">
        <v>0</v>
      </c>
      <c r="Z40" s="360"/>
      <c r="AA40" s="366">
        <v>0</v>
      </c>
      <c r="AB40" s="360"/>
      <c r="AC40" s="366">
        <v>0</v>
      </c>
      <c r="AD40" s="360"/>
      <c r="AE40" s="366">
        <v>0</v>
      </c>
      <c r="AF40" s="367"/>
    </row>
    <row r="41" spans="1:32" ht="35.25" x14ac:dyDescent="0.35">
      <c r="A41" s="359" t="s">
        <v>312</v>
      </c>
      <c r="B41" s="360"/>
      <c r="C41" s="361" t="s">
        <v>539</v>
      </c>
      <c r="D41" s="361"/>
      <c r="E41" s="361"/>
      <c r="F41" s="361"/>
      <c r="G41" s="359"/>
      <c r="H41" s="362">
        <v>2414322</v>
      </c>
      <c r="I41" s="359"/>
      <c r="J41" s="362">
        <v>1621435</v>
      </c>
      <c r="K41" s="359"/>
      <c r="L41" s="362">
        <v>0</v>
      </c>
      <c r="M41" s="359"/>
      <c r="N41" s="362">
        <v>0</v>
      </c>
      <c r="O41" s="359"/>
      <c r="P41" s="362">
        <v>0</v>
      </c>
      <c r="Q41" s="359"/>
      <c r="R41" s="362">
        <v>0</v>
      </c>
      <c r="S41" s="363"/>
      <c r="T41" s="359"/>
      <c r="U41" s="362">
        <v>2414500</v>
      </c>
      <c r="V41" s="359"/>
      <c r="W41" s="362">
        <v>1645600</v>
      </c>
      <c r="X41" s="359"/>
      <c r="Y41" s="362">
        <v>0</v>
      </c>
      <c r="Z41" s="359"/>
      <c r="AA41" s="362">
        <v>0</v>
      </c>
      <c r="AB41" s="359"/>
      <c r="AC41" s="362">
        <v>0</v>
      </c>
      <c r="AD41" s="359"/>
      <c r="AE41" s="362">
        <v>0</v>
      </c>
      <c r="AF41" s="363"/>
    </row>
    <row r="42" spans="1:32" ht="35.25" collapsed="1" x14ac:dyDescent="0.35">
      <c r="A42" s="364"/>
      <c r="B42" s="360" t="s">
        <v>540</v>
      </c>
      <c r="C42" s="365" t="s">
        <v>456</v>
      </c>
      <c r="D42" s="365"/>
      <c r="E42" s="365"/>
      <c r="F42" s="365"/>
      <c r="G42" s="359"/>
      <c r="H42" s="362">
        <v>2414322</v>
      </c>
      <c r="I42" s="359"/>
      <c r="J42" s="362">
        <v>1621435</v>
      </c>
      <c r="K42" s="359"/>
      <c r="L42" s="362">
        <v>0</v>
      </c>
      <c r="M42" s="359"/>
      <c r="N42" s="362">
        <v>0</v>
      </c>
      <c r="O42" s="359"/>
      <c r="P42" s="362">
        <v>0</v>
      </c>
      <c r="Q42" s="359"/>
      <c r="R42" s="362">
        <v>0</v>
      </c>
      <c r="S42" s="363"/>
      <c r="T42" s="359"/>
      <c r="U42" s="362">
        <v>2414500</v>
      </c>
      <c r="V42" s="359"/>
      <c r="W42" s="362">
        <v>1645600</v>
      </c>
      <c r="X42" s="359"/>
      <c r="Y42" s="362">
        <v>0</v>
      </c>
      <c r="Z42" s="359"/>
      <c r="AA42" s="362">
        <v>0</v>
      </c>
      <c r="AB42" s="359"/>
      <c r="AC42" s="362">
        <v>0</v>
      </c>
      <c r="AD42" s="359"/>
      <c r="AE42" s="362">
        <v>0</v>
      </c>
      <c r="AF42" s="363"/>
    </row>
    <row r="43" spans="1:32" ht="88.15" hidden="1" outlineLevel="1" collapsed="1" x14ac:dyDescent="0.35">
      <c r="A43" s="364"/>
      <c r="B43" s="360"/>
      <c r="C43" s="365"/>
      <c r="D43" s="360"/>
      <c r="E43" s="360" t="s">
        <v>509</v>
      </c>
      <c r="F43" s="365" t="s">
        <v>510</v>
      </c>
      <c r="G43" s="360"/>
      <c r="H43" s="366">
        <v>2263050</v>
      </c>
      <c r="I43" s="360"/>
      <c r="J43" s="366">
        <v>1131525</v>
      </c>
      <c r="K43" s="360"/>
      <c r="L43" s="366">
        <v>0</v>
      </c>
      <c r="M43" s="360"/>
      <c r="N43" s="366">
        <v>0</v>
      </c>
      <c r="O43" s="360"/>
      <c r="P43" s="366">
        <v>0</v>
      </c>
      <c r="Q43" s="360"/>
      <c r="R43" s="366">
        <v>0</v>
      </c>
      <c r="S43" s="367" t="s">
        <v>541</v>
      </c>
      <c r="T43" s="360"/>
      <c r="U43" s="366">
        <v>2263100</v>
      </c>
      <c r="V43" s="360"/>
      <c r="W43" s="366">
        <v>1131600</v>
      </c>
      <c r="X43" s="360"/>
      <c r="Y43" s="366">
        <v>0</v>
      </c>
      <c r="Z43" s="360"/>
      <c r="AA43" s="366">
        <v>0</v>
      </c>
      <c r="AB43" s="360"/>
      <c r="AC43" s="366">
        <v>0</v>
      </c>
      <c r="AD43" s="360"/>
      <c r="AE43" s="366">
        <v>0</v>
      </c>
      <c r="AF43" s="367" t="s">
        <v>542</v>
      </c>
    </row>
    <row r="44" spans="1:32" ht="123.4" hidden="1" outlineLevel="1" collapsed="1" x14ac:dyDescent="0.35">
      <c r="A44" s="364"/>
      <c r="B44" s="360"/>
      <c r="C44" s="365"/>
      <c r="D44" s="360"/>
      <c r="E44" s="360" t="s">
        <v>509</v>
      </c>
      <c r="F44" s="365" t="s">
        <v>510</v>
      </c>
      <c r="G44" s="360"/>
      <c r="H44" s="366">
        <v>106412</v>
      </c>
      <c r="I44" s="360"/>
      <c r="J44" s="366">
        <v>297952</v>
      </c>
      <c r="K44" s="360"/>
      <c r="L44" s="366">
        <v>0</v>
      </c>
      <c r="M44" s="360"/>
      <c r="N44" s="366">
        <v>0</v>
      </c>
      <c r="O44" s="360"/>
      <c r="P44" s="366">
        <v>0</v>
      </c>
      <c r="Q44" s="360"/>
      <c r="R44" s="366">
        <v>0</v>
      </c>
      <c r="S44" s="367" t="s">
        <v>543</v>
      </c>
      <c r="T44" s="360"/>
      <c r="U44" s="366">
        <v>106500</v>
      </c>
      <c r="V44" s="360"/>
      <c r="W44" s="366">
        <v>298000</v>
      </c>
      <c r="X44" s="360"/>
      <c r="Y44" s="366">
        <v>0</v>
      </c>
      <c r="Z44" s="360"/>
      <c r="AA44" s="366">
        <v>0</v>
      </c>
      <c r="AB44" s="360"/>
      <c r="AC44" s="366">
        <v>0</v>
      </c>
      <c r="AD44" s="360"/>
      <c r="AE44" s="366">
        <v>0</v>
      </c>
      <c r="AF44" s="367" t="s">
        <v>544</v>
      </c>
    </row>
    <row r="45" spans="1:32" ht="141" hidden="1" outlineLevel="1" collapsed="1" x14ac:dyDescent="0.35">
      <c r="A45" s="364"/>
      <c r="B45" s="360"/>
      <c r="C45" s="365"/>
      <c r="D45" s="360"/>
      <c r="E45" s="360" t="s">
        <v>509</v>
      </c>
      <c r="F45" s="365" t="s">
        <v>510</v>
      </c>
      <c r="G45" s="360"/>
      <c r="H45" s="366">
        <v>44860</v>
      </c>
      <c r="I45" s="360"/>
      <c r="J45" s="366">
        <v>191958</v>
      </c>
      <c r="K45" s="360"/>
      <c r="L45" s="366">
        <v>0</v>
      </c>
      <c r="M45" s="360"/>
      <c r="N45" s="366">
        <v>0</v>
      </c>
      <c r="O45" s="360"/>
      <c r="P45" s="366">
        <v>0</v>
      </c>
      <c r="Q45" s="360"/>
      <c r="R45" s="366">
        <v>0</v>
      </c>
      <c r="S45" s="367" t="s">
        <v>545</v>
      </c>
      <c r="T45" s="360"/>
      <c r="U45" s="366">
        <v>44900</v>
      </c>
      <c r="V45" s="360"/>
      <c r="W45" s="366">
        <v>216000</v>
      </c>
      <c r="X45" s="360"/>
      <c r="Y45" s="366">
        <v>0</v>
      </c>
      <c r="Z45" s="360"/>
      <c r="AA45" s="366">
        <v>0</v>
      </c>
      <c r="AB45" s="360"/>
      <c r="AC45" s="366">
        <v>0</v>
      </c>
      <c r="AD45" s="360"/>
      <c r="AE45" s="366">
        <v>0</v>
      </c>
      <c r="AF45" s="367" t="s">
        <v>546</v>
      </c>
    </row>
    <row r="46" spans="1:32" ht="17.649999999999999" x14ac:dyDescent="0.35">
      <c r="A46" s="359" t="s">
        <v>325</v>
      </c>
      <c r="B46" s="360"/>
      <c r="C46" s="361" t="s">
        <v>547</v>
      </c>
      <c r="D46" s="361"/>
      <c r="E46" s="361"/>
      <c r="F46" s="361"/>
      <c r="G46" s="359"/>
      <c r="H46" s="362">
        <v>452250</v>
      </c>
      <c r="I46" s="359"/>
      <c r="J46" s="362">
        <v>0</v>
      </c>
      <c r="K46" s="359"/>
      <c r="L46" s="362">
        <v>0</v>
      </c>
      <c r="M46" s="359"/>
      <c r="N46" s="362">
        <v>0</v>
      </c>
      <c r="O46" s="359"/>
      <c r="P46" s="362">
        <v>0</v>
      </c>
      <c r="Q46" s="359"/>
      <c r="R46" s="362">
        <v>0</v>
      </c>
      <c r="S46" s="363"/>
      <c r="T46" s="359"/>
      <c r="U46" s="362">
        <v>305300</v>
      </c>
      <c r="V46" s="359"/>
      <c r="W46" s="362">
        <v>0</v>
      </c>
      <c r="X46" s="359"/>
      <c r="Y46" s="362">
        <v>0</v>
      </c>
      <c r="Z46" s="359"/>
      <c r="AA46" s="362">
        <v>0</v>
      </c>
      <c r="AB46" s="359"/>
      <c r="AC46" s="362">
        <v>0</v>
      </c>
      <c r="AD46" s="359"/>
      <c r="AE46" s="362">
        <v>0</v>
      </c>
      <c r="AF46" s="363"/>
    </row>
    <row r="47" spans="1:32" ht="17.649999999999999" collapsed="1" x14ac:dyDescent="0.35">
      <c r="A47" s="364"/>
      <c r="B47" s="360" t="s">
        <v>354</v>
      </c>
      <c r="C47" s="365" t="s">
        <v>458</v>
      </c>
      <c r="D47" s="365"/>
      <c r="E47" s="365"/>
      <c r="F47" s="365"/>
      <c r="G47" s="359"/>
      <c r="H47" s="362">
        <v>147000</v>
      </c>
      <c r="I47" s="359"/>
      <c r="J47" s="362">
        <v>0</v>
      </c>
      <c r="K47" s="359"/>
      <c r="L47" s="362">
        <v>0</v>
      </c>
      <c r="M47" s="359"/>
      <c r="N47" s="362">
        <v>0</v>
      </c>
      <c r="O47" s="359"/>
      <c r="P47" s="362">
        <v>0</v>
      </c>
      <c r="Q47" s="359"/>
      <c r="R47" s="362">
        <v>0</v>
      </c>
      <c r="S47" s="363"/>
      <c r="T47" s="359"/>
      <c r="U47" s="362">
        <v>0</v>
      </c>
      <c r="V47" s="359"/>
      <c r="W47" s="362">
        <v>0</v>
      </c>
      <c r="X47" s="359"/>
      <c r="Y47" s="362">
        <v>0</v>
      </c>
      <c r="Z47" s="359"/>
      <c r="AA47" s="362">
        <v>0</v>
      </c>
      <c r="AB47" s="359"/>
      <c r="AC47" s="362">
        <v>0</v>
      </c>
      <c r="AD47" s="359"/>
      <c r="AE47" s="362">
        <v>0</v>
      </c>
      <c r="AF47" s="363"/>
    </row>
    <row r="48" spans="1:32" ht="105.75" hidden="1" outlineLevel="1" collapsed="1" x14ac:dyDescent="0.35">
      <c r="A48" s="364"/>
      <c r="B48" s="360"/>
      <c r="C48" s="365"/>
      <c r="D48" s="360"/>
      <c r="E48" s="360" t="s">
        <v>509</v>
      </c>
      <c r="F48" s="365" t="s">
        <v>514</v>
      </c>
      <c r="G48" s="360"/>
      <c r="H48" s="366">
        <v>147000</v>
      </c>
      <c r="I48" s="360"/>
      <c r="J48" s="366">
        <v>0</v>
      </c>
      <c r="K48" s="360"/>
      <c r="L48" s="366">
        <v>0</v>
      </c>
      <c r="M48" s="360"/>
      <c r="N48" s="366">
        <v>0</v>
      </c>
      <c r="O48" s="360"/>
      <c r="P48" s="366">
        <v>0</v>
      </c>
      <c r="Q48" s="360"/>
      <c r="R48" s="366">
        <v>0</v>
      </c>
      <c r="S48" s="367" t="s">
        <v>548</v>
      </c>
      <c r="T48" s="360"/>
      <c r="U48" s="366">
        <v>0</v>
      </c>
      <c r="V48" s="360"/>
      <c r="W48" s="366">
        <v>0</v>
      </c>
      <c r="X48" s="360"/>
      <c r="Y48" s="366">
        <v>0</v>
      </c>
      <c r="Z48" s="360"/>
      <c r="AA48" s="366">
        <v>0</v>
      </c>
      <c r="AB48" s="360"/>
      <c r="AC48" s="366">
        <v>0</v>
      </c>
      <c r="AD48" s="360"/>
      <c r="AE48" s="366">
        <v>0</v>
      </c>
      <c r="AF48" s="367" t="s">
        <v>549</v>
      </c>
    </row>
    <row r="49" spans="1:32" ht="105.75" hidden="1" outlineLevel="1" collapsed="1" x14ac:dyDescent="0.35">
      <c r="A49" s="364"/>
      <c r="B49" s="360"/>
      <c r="C49" s="365"/>
      <c r="D49" s="360"/>
      <c r="E49" s="360" t="s">
        <v>509</v>
      </c>
      <c r="F49" s="365" t="s">
        <v>514</v>
      </c>
      <c r="G49" s="360"/>
      <c r="H49" s="366">
        <v>0</v>
      </c>
      <c r="I49" s="360"/>
      <c r="J49" s="366">
        <v>0</v>
      </c>
      <c r="K49" s="360"/>
      <c r="L49" s="366">
        <v>0</v>
      </c>
      <c r="M49" s="360"/>
      <c r="N49" s="366">
        <v>0</v>
      </c>
      <c r="O49" s="360"/>
      <c r="P49" s="366">
        <v>0</v>
      </c>
      <c r="Q49" s="360"/>
      <c r="R49" s="366">
        <v>0</v>
      </c>
      <c r="S49" s="367"/>
      <c r="T49" s="360"/>
      <c r="U49" s="366">
        <v>0</v>
      </c>
      <c r="V49" s="360"/>
      <c r="W49" s="366">
        <v>0</v>
      </c>
      <c r="X49" s="360"/>
      <c r="Y49" s="366">
        <v>0</v>
      </c>
      <c r="Z49" s="360"/>
      <c r="AA49" s="366">
        <v>0</v>
      </c>
      <c r="AB49" s="360"/>
      <c r="AC49" s="366">
        <v>0</v>
      </c>
      <c r="AD49" s="360"/>
      <c r="AE49" s="366">
        <v>0</v>
      </c>
      <c r="AF49" s="367" t="s">
        <v>550</v>
      </c>
    </row>
    <row r="50" spans="1:32" ht="105.75" hidden="1" outlineLevel="1" collapsed="1" x14ac:dyDescent="0.35">
      <c r="A50" s="364"/>
      <c r="B50" s="360"/>
      <c r="C50" s="365"/>
      <c r="D50" s="360"/>
      <c r="E50" s="360" t="s">
        <v>509</v>
      </c>
      <c r="F50" s="365" t="s">
        <v>514</v>
      </c>
      <c r="G50" s="360"/>
      <c r="H50" s="366">
        <v>0</v>
      </c>
      <c r="I50" s="360"/>
      <c r="J50" s="366">
        <v>0</v>
      </c>
      <c r="K50" s="360"/>
      <c r="L50" s="366">
        <v>0</v>
      </c>
      <c r="M50" s="360"/>
      <c r="N50" s="366">
        <v>0</v>
      </c>
      <c r="O50" s="360"/>
      <c r="P50" s="366">
        <v>0</v>
      </c>
      <c r="Q50" s="360"/>
      <c r="R50" s="366">
        <v>0</v>
      </c>
      <c r="S50" s="367"/>
      <c r="T50" s="360"/>
      <c r="U50" s="366">
        <v>0</v>
      </c>
      <c r="V50" s="360"/>
      <c r="W50" s="366">
        <v>0</v>
      </c>
      <c r="X50" s="360"/>
      <c r="Y50" s="366">
        <v>0</v>
      </c>
      <c r="Z50" s="360"/>
      <c r="AA50" s="366">
        <v>0</v>
      </c>
      <c r="AB50" s="360"/>
      <c r="AC50" s="366">
        <v>0</v>
      </c>
      <c r="AD50" s="360"/>
      <c r="AE50" s="366">
        <v>0</v>
      </c>
      <c r="AF50" s="367" t="s">
        <v>551</v>
      </c>
    </row>
    <row r="51" spans="1:32" ht="17.649999999999999" x14ac:dyDescent="0.35">
      <c r="A51" s="364"/>
      <c r="B51" s="360" t="s">
        <v>326</v>
      </c>
      <c r="C51" s="365" t="s">
        <v>552</v>
      </c>
      <c r="D51" s="365"/>
      <c r="E51" s="365"/>
      <c r="F51" s="365"/>
      <c r="G51" s="359"/>
      <c r="H51" s="362">
        <v>305250</v>
      </c>
      <c r="I51" s="359"/>
      <c r="J51" s="362">
        <v>0</v>
      </c>
      <c r="K51" s="359"/>
      <c r="L51" s="362">
        <v>0</v>
      </c>
      <c r="M51" s="359"/>
      <c r="N51" s="362">
        <v>0</v>
      </c>
      <c r="O51" s="359"/>
      <c r="P51" s="362">
        <v>0</v>
      </c>
      <c r="Q51" s="359"/>
      <c r="R51" s="362">
        <v>0</v>
      </c>
      <c r="S51" s="363"/>
      <c r="T51" s="359"/>
      <c r="U51" s="362">
        <v>305300</v>
      </c>
      <c r="V51" s="359"/>
      <c r="W51" s="362">
        <v>0</v>
      </c>
      <c r="X51" s="359"/>
      <c r="Y51" s="362">
        <v>0</v>
      </c>
      <c r="Z51" s="359"/>
      <c r="AA51" s="362">
        <v>0</v>
      </c>
      <c r="AB51" s="359"/>
      <c r="AC51" s="362">
        <v>0</v>
      </c>
      <c r="AD51" s="359"/>
      <c r="AE51" s="362">
        <v>0</v>
      </c>
      <c r="AF51" s="363"/>
    </row>
    <row r="52" spans="1:32" ht="24.7" customHeight="1" outlineLevel="1" collapsed="1" x14ac:dyDescent="0.35">
      <c r="A52" s="364"/>
      <c r="B52" s="360"/>
      <c r="C52" s="365"/>
      <c r="D52" s="360"/>
      <c r="E52" s="360" t="s">
        <v>509</v>
      </c>
      <c r="F52" s="365" t="s">
        <v>510</v>
      </c>
      <c r="G52" s="360"/>
      <c r="H52" s="366">
        <v>145000</v>
      </c>
      <c r="I52" s="360"/>
      <c r="J52" s="366">
        <v>0</v>
      </c>
      <c r="K52" s="360"/>
      <c r="L52" s="366">
        <v>0</v>
      </c>
      <c r="M52" s="360"/>
      <c r="N52" s="366">
        <v>0</v>
      </c>
      <c r="O52" s="360"/>
      <c r="P52" s="366">
        <v>0</v>
      </c>
      <c r="Q52" s="360"/>
      <c r="R52" s="366">
        <v>0</v>
      </c>
      <c r="S52" s="367" t="s">
        <v>553</v>
      </c>
      <c r="T52" s="360"/>
      <c r="U52" s="366">
        <v>145000</v>
      </c>
      <c r="V52" s="360"/>
      <c r="W52" s="366">
        <v>0</v>
      </c>
      <c r="X52" s="360"/>
      <c r="Y52" s="366">
        <v>0</v>
      </c>
      <c r="Z52" s="360"/>
      <c r="AA52" s="366">
        <v>0</v>
      </c>
      <c r="AB52" s="360"/>
      <c r="AC52" s="366">
        <v>0</v>
      </c>
      <c r="AD52" s="360"/>
      <c r="AE52" s="366">
        <v>0</v>
      </c>
      <c r="AF52" s="367"/>
    </row>
    <row r="53" spans="1:32" ht="24.7" customHeight="1" outlineLevel="1" collapsed="1" x14ac:dyDescent="0.35">
      <c r="A53" s="364"/>
      <c r="B53" s="360"/>
      <c r="C53" s="365"/>
      <c r="D53" s="360"/>
      <c r="E53" s="360" t="s">
        <v>509</v>
      </c>
      <c r="F53" s="365" t="s">
        <v>510</v>
      </c>
      <c r="G53" s="360"/>
      <c r="H53" s="366">
        <v>160250</v>
      </c>
      <c r="I53" s="360"/>
      <c r="J53" s="366">
        <v>0</v>
      </c>
      <c r="K53" s="360"/>
      <c r="L53" s="366">
        <v>0</v>
      </c>
      <c r="M53" s="360"/>
      <c r="N53" s="366">
        <v>0</v>
      </c>
      <c r="O53" s="360"/>
      <c r="P53" s="366">
        <v>0</v>
      </c>
      <c r="Q53" s="360"/>
      <c r="R53" s="366">
        <v>0</v>
      </c>
      <c r="S53" s="367" t="s">
        <v>554</v>
      </c>
      <c r="T53" s="360"/>
      <c r="U53" s="366">
        <v>160300</v>
      </c>
      <c r="V53" s="360"/>
      <c r="W53" s="366">
        <v>0</v>
      </c>
      <c r="X53" s="360"/>
      <c r="Y53" s="366">
        <v>0</v>
      </c>
      <c r="Z53" s="360"/>
      <c r="AA53" s="366">
        <v>0</v>
      </c>
      <c r="AB53" s="360"/>
      <c r="AC53" s="366">
        <v>0</v>
      </c>
      <c r="AD53" s="360"/>
      <c r="AE53" s="366">
        <v>0</v>
      </c>
      <c r="AF53" s="367" t="s">
        <v>555</v>
      </c>
    </row>
    <row r="54" spans="1:32" ht="35.25" x14ac:dyDescent="0.35">
      <c r="A54" s="359" t="s">
        <v>332</v>
      </c>
      <c r="B54" s="360"/>
      <c r="C54" s="361" t="s">
        <v>556</v>
      </c>
      <c r="D54" s="361"/>
      <c r="E54" s="361"/>
      <c r="F54" s="361"/>
      <c r="G54" s="359"/>
      <c r="H54" s="362">
        <v>150000</v>
      </c>
      <c r="I54" s="359"/>
      <c r="J54" s="362">
        <v>0</v>
      </c>
      <c r="K54" s="359"/>
      <c r="L54" s="362">
        <v>0</v>
      </c>
      <c r="M54" s="359"/>
      <c r="N54" s="362">
        <v>0</v>
      </c>
      <c r="O54" s="359"/>
      <c r="P54" s="362">
        <v>0</v>
      </c>
      <c r="Q54" s="359"/>
      <c r="R54" s="362">
        <v>0</v>
      </c>
      <c r="S54" s="363"/>
      <c r="T54" s="359"/>
      <c r="U54" s="362">
        <v>150000</v>
      </c>
      <c r="V54" s="359"/>
      <c r="W54" s="362">
        <v>0</v>
      </c>
      <c r="X54" s="359"/>
      <c r="Y54" s="362">
        <v>0</v>
      </c>
      <c r="Z54" s="359"/>
      <c r="AA54" s="362">
        <v>0</v>
      </c>
      <c r="AB54" s="359"/>
      <c r="AC54" s="362">
        <v>0</v>
      </c>
      <c r="AD54" s="359"/>
      <c r="AE54" s="362">
        <v>0</v>
      </c>
      <c r="AF54" s="363"/>
    </row>
    <row r="55" spans="1:32" ht="35.25" collapsed="1" x14ac:dyDescent="0.35">
      <c r="A55" s="364"/>
      <c r="B55" s="360" t="s">
        <v>333</v>
      </c>
      <c r="C55" s="365" t="s">
        <v>334</v>
      </c>
      <c r="D55" s="365"/>
      <c r="E55" s="365"/>
      <c r="F55" s="365"/>
      <c r="G55" s="359"/>
      <c r="H55" s="362">
        <v>150000</v>
      </c>
      <c r="I55" s="359"/>
      <c r="J55" s="362">
        <v>0</v>
      </c>
      <c r="K55" s="359"/>
      <c r="L55" s="362">
        <v>0</v>
      </c>
      <c r="M55" s="359"/>
      <c r="N55" s="362">
        <v>0</v>
      </c>
      <c r="O55" s="359"/>
      <c r="P55" s="362">
        <v>0</v>
      </c>
      <c r="Q55" s="359"/>
      <c r="R55" s="362">
        <v>0</v>
      </c>
      <c r="S55" s="363"/>
      <c r="T55" s="359"/>
      <c r="U55" s="362">
        <v>150000</v>
      </c>
      <c r="V55" s="359"/>
      <c r="W55" s="362">
        <v>0</v>
      </c>
      <c r="X55" s="359"/>
      <c r="Y55" s="362">
        <v>0</v>
      </c>
      <c r="Z55" s="359"/>
      <c r="AA55" s="362">
        <v>0</v>
      </c>
      <c r="AB55" s="359"/>
      <c r="AC55" s="362">
        <v>0</v>
      </c>
      <c r="AD55" s="359"/>
      <c r="AE55" s="362">
        <v>0</v>
      </c>
      <c r="AF55" s="363"/>
    </row>
    <row r="56" spans="1:32" ht="70.5" hidden="1" outlineLevel="1" collapsed="1" x14ac:dyDescent="0.35">
      <c r="A56" s="364"/>
      <c r="B56" s="360"/>
      <c r="C56" s="365"/>
      <c r="D56" s="360"/>
      <c r="E56" s="360" t="s">
        <v>509</v>
      </c>
      <c r="F56" s="365" t="s">
        <v>514</v>
      </c>
      <c r="G56" s="360"/>
      <c r="H56" s="366">
        <v>150000</v>
      </c>
      <c r="I56" s="360"/>
      <c r="J56" s="366">
        <v>0</v>
      </c>
      <c r="K56" s="360"/>
      <c r="L56" s="366">
        <v>0</v>
      </c>
      <c r="M56" s="360"/>
      <c r="N56" s="366">
        <v>0</v>
      </c>
      <c r="O56" s="360"/>
      <c r="P56" s="366">
        <v>0</v>
      </c>
      <c r="Q56" s="360"/>
      <c r="R56" s="366">
        <v>0</v>
      </c>
      <c r="S56" s="367" t="s">
        <v>557</v>
      </c>
      <c r="T56" s="360"/>
      <c r="U56" s="366">
        <v>150000</v>
      </c>
      <c r="V56" s="360"/>
      <c r="W56" s="366">
        <v>0</v>
      </c>
      <c r="X56" s="360"/>
      <c r="Y56" s="366">
        <v>0</v>
      </c>
      <c r="Z56" s="360"/>
      <c r="AA56" s="366">
        <v>0</v>
      </c>
      <c r="AB56" s="360"/>
      <c r="AC56" s="366">
        <v>0</v>
      </c>
      <c r="AD56" s="360"/>
      <c r="AE56" s="366">
        <v>0</v>
      </c>
      <c r="AF56" s="367"/>
    </row>
    <row r="57" spans="1:32" ht="17.649999999999999" x14ac:dyDescent="0.35">
      <c r="A57" s="359" t="s">
        <v>336</v>
      </c>
      <c r="B57" s="360"/>
      <c r="C57" s="361" t="s">
        <v>338</v>
      </c>
      <c r="D57" s="361"/>
      <c r="E57" s="361"/>
      <c r="F57" s="361"/>
      <c r="G57" s="359"/>
      <c r="H57" s="362">
        <v>80000</v>
      </c>
      <c r="I57" s="359"/>
      <c r="J57" s="362">
        <v>0</v>
      </c>
      <c r="K57" s="359"/>
      <c r="L57" s="362">
        <v>0</v>
      </c>
      <c r="M57" s="359"/>
      <c r="N57" s="362">
        <v>0</v>
      </c>
      <c r="O57" s="359"/>
      <c r="P57" s="362">
        <v>0</v>
      </c>
      <c r="Q57" s="359"/>
      <c r="R57" s="362">
        <v>0</v>
      </c>
      <c r="S57" s="363"/>
      <c r="T57" s="359"/>
      <c r="U57" s="362">
        <v>80000</v>
      </c>
      <c r="V57" s="359"/>
      <c r="W57" s="362">
        <v>0</v>
      </c>
      <c r="X57" s="359"/>
      <c r="Y57" s="362">
        <v>0</v>
      </c>
      <c r="Z57" s="359"/>
      <c r="AA57" s="362">
        <v>0</v>
      </c>
      <c r="AB57" s="359"/>
      <c r="AC57" s="362">
        <v>0</v>
      </c>
      <c r="AD57" s="359"/>
      <c r="AE57" s="362">
        <v>0</v>
      </c>
      <c r="AF57" s="363"/>
    </row>
    <row r="58" spans="1:32" ht="17.649999999999999" collapsed="1" x14ac:dyDescent="0.35">
      <c r="A58" s="364"/>
      <c r="B58" s="360" t="s">
        <v>337</v>
      </c>
      <c r="C58" s="365" t="s">
        <v>338</v>
      </c>
      <c r="D58" s="365"/>
      <c r="E58" s="365"/>
      <c r="F58" s="365"/>
      <c r="G58" s="359"/>
      <c r="H58" s="362">
        <v>80000</v>
      </c>
      <c r="I58" s="359"/>
      <c r="J58" s="362">
        <v>0</v>
      </c>
      <c r="K58" s="359"/>
      <c r="L58" s="362">
        <v>0</v>
      </c>
      <c r="M58" s="359"/>
      <c r="N58" s="362">
        <v>0</v>
      </c>
      <c r="O58" s="359"/>
      <c r="P58" s="362">
        <v>0</v>
      </c>
      <c r="Q58" s="359"/>
      <c r="R58" s="362">
        <v>0</v>
      </c>
      <c r="S58" s="363"/>
      <c r="T58" s="359"/>
      <c r="U58" s="362">
        <v>80000</v>
      </c>
      <c r="V58" s="359"/>
      <c r="W58" s="362">
        <v>0</v>
      </c>
      <c r="X58" s="359"/>
      <c r="Y58" s="362">
        <v>0</v>
      </c>
      <c r="Z58" s="359"/>
      <c r="AA58" s="362">
        <v>0</v>
      </c>
      <c r="AB58" s="359"/>
      <c r="AC58" s="362">
        <v>0</v>
      </c>
      <c r="AD58" s="359"/>
      <c r="AE58" s="362">
        <v>0</v>
      </c>
      <c r="AF58" s="363"/>
    </row>
    <row r="59" spans="1:32" ht="52.9" hidden="1" outlineLevel="1" collapsed="1" x14ac:dyDescent="0.35">
      <c r="A59" s="364"/>
      <c r="B59" s="360"/>
      <c r="C59" s="365"/>
      <c r="D59" s="360"/>
      <c r="E59" s="360" t="s">
        <v>509</v>
      </c>
      <c r="F59" s="365" t="s">
        <v>514</v>
      </c>
      <c r="G59" s="360"/>
      <c r="H59" s="366">
        <v>40000</v>
      </c>
      <c r="I59" s="360"/>
      <c r="J59" s="366">
        <v>0</v>
      </c>
      <c r="K59" s="360"/>
      <c r="L59" s="366">
        <v>0</v>
      </c>
      <c r="M59" s="360"/>
      <c r="N59" s="366">
        <v>0</v>
      </c>
      <c r="O59" s="360"/>
      <c r="P59" s="366">
        <v>0</v>
      </c>
      <c r="Q59" s="360"/>
      <c r="R59" s="366">
        <v>0</v>
      </c>
      <c r="S59" s="367" t="s">
        <v>558</v>
      </c>
      <c r="T59" s="360"/>
      <c r="U59" s="366">
        <v>40000</v>
      </c>
      <c r="V59" s="360"/>
      <c r="W59" s="366">
        <v>0</v>
      </c>
      <c r="X59" s="360"/>
      <c r="Y59" s="366">
        <v>0</v>
      </c>
      <c r="Z59" s="360"/>
      <c r="AA59" s="366">
        <v>0</v>
      </c>
      <c r="AB59" s="360"/>
      <c r="AC59" s="366">
        <v>0</v>
      </c>
      <c r="AD59" s="360"/>
      <c r="AE59" s="366">
        <v>0</v>
      </c>
      <c r="AF59" s="367"/>
    </row>
    <row r="60" spans="1:32" ht="88.15" hidden="1" outlineLevel="1" collapsed="1" x14ac:dyDescent="0.35">
      <c r="A60" s="364"/>
      <c r="B60" s="360"/>
      <c r="C60" s="365"/>
      <c r="D60" s="360"/>
      <c r="E60" s="360" t="s">
        <v>509</v>
      </c>
      <c r="F60" s="365" t="s">
        <v>510</v>
      </c>
      <c r="G60" s="360"/>
      <c r="H60" s="366">
        <v>40000</v>
      </c>
      <c r="I60" s="360"/>
      <c r="J60" s="366">
        <v>0</v>
      </c>
      <c r="K60" s="360"/>
      <c r="L60" s="366">
        <v>0</v>
      </c>
      <c r="M60" s="360"/>
      <c r="N60" s="366">
        <v>0</v>
      </c>
      <c r="O60" s="360"/>
      <c r="P60" s="366">
        <v>0</v>
      </c>
      <c r="Q60" s="360"/>
      <c r="R60" s="366">
        <v>0</v>
      </c>
      <c r="S60" s="367" t="s">
        <v>559</v>
      </c>
      <c r="T60" s="360"/>
      <c r="U60" s="366">
        <v>40000</v>
      </c>
      <c r="V60" s="360"/>
      <c r="W60" s="366">
        <v>0</v>
      </c>
      <c r="X60" s="360"/>
      <c r="Y60" s="366">
        <v>0</v>
      </c>
      <c r="Z60" s="360"/>
      <c r="AA60" s="366">
        <v>0</v>
      </c>
      <c r="AB60" s="360"/>
      <c r="AC60" s="366">
        <v>0</v>
      </c>
      <c r="AD60" s="360"/>
      <c r="AE60" s="366">
        <v>0</v>
      </c>
      <c r="AF60" s="367"/>
    </row>
    <row r="61" spans="1:32" ht="17.649999999999999" x14ac:dyDescent="0.35">
      <c r="A61" s="359" t="s">
        <v>341</v>
      </c>
      <c r="B61" s="360"/>
      <c r="C61" s="361" t="s">
        <v>343</v>
      </c>
      <c r="D61" s="361"/>
      <c r="E61" s="361"/>
      <c r="F61" s="361"/>
      <c r="G61" s="359"/>
      <c r="H61" s="362">
        <v>1597000</v>
      </c>
      <c r="I61" s="359"/>
      <c r="J61" s="362">
        <v>0</v>
      </c>
      <c r="K61" s="359"/>
      <c r="L61" s="362">
        <v>0</v>
      </c>
      <c r="M61" s="359"/>
      <c r="N61" s="362">
        <v>0</v>
      </c>
      <c r="O61" s="359"/>
      <c r="P61" s="362">
        <v>0</v>
      </c>
      <c r="Q61" s="359"/>
      <c r="R61" s="362">
        <v>0</v>
      </c>
      <c r="S61" s="363"/>
      <c r="T61" s="359"/>
      <c r="U61" s="362">
        <v>1597000</v>
      </c>
      <c r="V61" s="359"/>
      <c r="W61" s="362">
        <v>0</v>
      </c>
      <c r="X61" s="359"/>
      <c r="Y61" s="362">
        <v>0</v>
      </c>
      <c r="Z61" s="359"/>
      <c r="AA61" s="362">
        <v>0</v>
      </c>
      <c r="AB61" s="359"/>
      <c r="AC61" s="362">
        <v>0</v>
      </c>
      <c r="AD61" s="359"/>
      <c r="AE61" s="362">
        <v>0</v>
      </c>
      <c r="AF61" s="363"/>
    </row>
    <row r="62" spans="1:32" ht="17.649999999999999" x14ac:dyDescent="0.35">
      <c r="A62" s="364"/>
      <c r="B62" s="360" t="s">
        <v>342</v>
      </c>
      <c r="C62" s="365" t="s">
        <v>343</v>
      </c>
      <c r="D62" s="365"/>
      <c r="E62" s="365"/>
      <c r="F62" s="365"/>
      <c r="G62" s="359"/>
      <c r="H62" s="362">
        <v>1597000</v>
      </c>
      <c r="I62" s="359"/>
      <c r="J62" s="362">
        <v>0</v>
      </c>
      <c r="K62" s="359"/>
      <c r="L62" s="362">
        <v>0</v>
      </c>
      <c r="M62" s="359"/>
      <c r="N62" s="362">
        <v>0</v>
      </c>
      <c r="O62" s="359"/>
      <c r="P62" s="362">
        <v>0</v>
      </c>
      <c r="Q62" s="359"/>
      <c r="R62" s="362">
        <v>0</v>
      </c>
      <c r="S62" s="363"/>
      <c r="T62" s="359"/>
      <c r="U62" s="362">
        <v>1597000</v>
      </c>
      <c r="V62" s="359"/>
      <c r="W62" s="362">
        <v>0</v>
      </c>
      <c r="X62" s="359"/>
      <c r="Y62" s="362">
        <v>0</v>
      </c>
      <c r="Z62" s="359"/>
      <c r="AA62" s="362">
        <v>0</v>
      </c>
      <c r="AB62" s="359"/>
      <c r="AC62" s="362">
        <v>0</v>
      </c>
      <c r="AD62" s="359"/>
      <c r="AE62" s="362">
        <v>0</v>
      </c>
      <c r="AF62" s="363"/>
    </row>
    <row r="63" spans="1:32" ht="17.2" customHeight="1" outlineLevel="1" collapsed="1" x14ac:dyDescent="0.35">
      <c r="A63" s="364"/>
      <c r="B63" s="360"/>
      <c r="C63" s="365"/>
      <c r="D63" s="360"/>
      <c r="E63" s="360" t="s">
        <v>509</v>
      </c>
      <c r="F63" s="365" t="s">
        <v>510</v>
      </c>
      <c r="G63" s="360"/>
      <c r="H63" s="366">
        <v>460000</v>
      </c>
      <c r="I63" s="360"/>
      <c r="J63" s="366">
        <v>0</v>
      </c>
      <c r="K63" s="360"/>
      <c r="L63" s="366">
        <v>0</v>
      </c>
      <c r="M63" s="360"/>
      <c r="N63" s="366">
        <v>0</v>
      </c>
      <c r="O63" s="360"/>
      <c r="P63" s="366">
        <v>0</v>
      </c>
      <c r="Q63" s="360"/>
      <c r="R63" s="366">
        <v>0</v>
      </c>
      <c r="S63" s="367" t="s">
        <v>560</v>
      </c>
      <c r="T63" s="360"/>
      <c r="U63" s="366">
        <v>460000</v>
      </c>
      <c r="V63" s="360"/>
      <c r="W63" s="366">
        <v>0</v>
      </c>
      <c r="X63" s="360"/>
      <c r="Y63" s="366">
        <v>0</v>
      </c>
      <c r="Z63" s="360"/>
      <c r="AA63" s="366">
        <v>0</v>
      </c>
      <c r="AB63" s="360"/>
      <c r="AC63" s="366">
        <v>0</v>
      </c>
      <c r="AD63" s="360"/>
      <c r="AE63" s="366">
        <v>0</v>
      </c>
      <c r="AF63" s="367"/>
    </row>
    <row r="64" spans="1:32" ht="17.2" customHeight="1" outlineLevel="1" collapsed="1" x14ac:dyDescent="0.35">
      <c r="A64" s="364"/>
      <c r="B64" s="360"/>
      <c r="C64" s="365"/>
      <c r="D64" s="360"/>
      <c r="E64" s="360" t="s">
        <v>509</v>
      </c>
      <c r="F64" s="365" t="s">
        <v>510</v>
      </c>
      <c r="G64" s="360"/>
      <c r="H64" s="366">
        <v>587000</v>
      </c>
      <c r="I64" s="360"/>
      <c r="J64" s="366">
        <v>0</v>
      </c>
      <c r="K64" s="360"/>
      <c r="L64" s="366">
        <v>0</v>
      </c>
      <c r="M64" s="360"/>
      <c r="N64" s="366">
        <v>0</v>
      </c>
      <c r="O64" s="360"/>
      <c r="P64" s="366">
        <v>0</v>
      </c>
      <c r="Q64" s="360"/>
      <c r="R64" s="366">
        <v>0</v>
      </c>
      <c r="S64" s="367" t="s">
        <v>561</v>
      </c>
      <c r="T64" s="360"/>
      <c r="U64" s="366">
        <v>587000</v>
      </c>
      <c r="V64" s="360"/>
      <c r="W64" s="366">
        <v>0</v>
      </c>
      <c r="X64" s="360"/>
      <c r="Y64" s="366">
        <v>0</v>
      </c>
      <c r="Z64" s="360"/>
      <c r="AA64" s="366">
        <v>0</v>
      </c>
      <c r="AB64" s="360"/>
      <c r="AC64" s="366">
        <v>0</v>
      </c>
      <c r="AD64" s="360"/>
      <c r="AE64" s="366">
        <v>0</v>
      </c>
      <c r="AF64" s="367"/>
    </row>
    <row r="65" spans="1:32" ht="17.2" customHeight="1" outlineLevel="1" collapsed="1" x14ac:dyDescent="0.35">
      <c r="A65" s="364"/>
      <c r="B65" s="360"/>
      <c r="C65" s="365"/>
      <c r="D65" s="360"/>
      <c r="E65" s="360" t="s">
        <v>509</v>
      </c>
      <c r="F65" s="365" t="s">
        <v>510</v>
      </c>
      <c r="G65" s="360"/>
      <c r="H65" s="366">
        <v>400000</v>
      </c>
      <c r="I65" s="360"/>
      <c r="J65" s="366">
        <v>0</v>
      </c>
      <c r="K65" s="360"/>
      <c r="L65" s="366">
        <v>0</v>
      </c>
      <c r="M65" s="360"/>
      <c r="N65" s="366">
        <v>0</v>
      </c>
      <c r="O65" s="360"/>
      <c r="P65" s="366">
        <v>0</v>
      </c>
      <c r="Q65" s="360"/>
      <c r="R65" s="366">
        <v>0</v>
      </c>
      <c r="S65" s="367" t="s">
        <v>562</v>
      </c>
      <c r="T65" s="360"/>
      <c r="U65" s="366">
        <v>400000</v>
      </c>
      <c r="V65" s="360"/>
      <c r="W65" s="366">
        <v>0</v>
      </c>
      <c r="X65" s="360"/>
      <c r="Y65" s="366">
        <v>0</v>
      </c>
      <c r="Z65" s="360"/>
      <c r="AA65" s="366">
        <v>0</v>
      </c>
      <c r="AB65" s="360"/>
      <c r="AC65" s="366">
        <v>0</v>
      </c>
      <c r="AD65" s="360"/>
      <c r="AE65" s="366">
        <v>0</v>
      </c>
      <c r="AF65" s="367"/>
    </row>
    <row r="66" spans="1:32" ht="17.2" customHeight="1" outlineLevel="1" collapsed="1" x14ac:dyDescent="0.35">
      <c r="A66" s="364"/>
      <c r="B66" s="360"/>
      <c r="C66" s="365"/>
      <c r="D66" s="360"/>
      <c r="E66" s="360" t="s">
        <v>509</v>
      </c>
      <c r="F66" s="365" t="s">
        <v>514</v>
      </c>
      <c r="G66" s="360"/>
      <c r="H66" s="366">
        <v>150000</v>
      </c>
      <c r="I66" s="360"/>
      <c r="J66" s="366">
        <v>0</v>
      </c>
      <c r="K66" s="360"/>
      <c r="L66" s="366">
        <v>0</v>
      </c>
      <c r="M66" s="360"/>
      <c r="N66" s="366">
        <v>0</v>
      </c>
      <c r="O66" s="360"/>
      <c r="P66" s="366">
        <v>0</v>
      </c>
      <c r="Q66" s="360"/>
      <c r="R66" s="366">
        <v>0</v>
      </c>
      <c r="S66" s="367" t="s">
        <v>563</v>
      </c>
      <c r="T66" s="360"/>
      <c r="U66" s="366">
        <v>150000</v>
      </c>
      <c r="V66" s="360"/>
      <c r="W66" s="366">
        <v>0</v>
      </c>
      <c r="X66" s="360"/>
      <c r="Y66" s="366">
        <v>0</v>
      </c>
      <c r="Z66" s="360"/>
      <c r="AA66" s="366">
        <v>0</v>
      </c>
      <c r="AB66" s="360"/>
      <c r="AC66" s="366">
        <v>0</v>
      </c>
      <c r="AD66" s="360"/>
      <c r="AE66" s="366">
        <v>0</v>
      </c>
      <c r="AF66" s="367"/>
    </row>
    <row r="67" spans="1:32" ht="17.649999999999999" x14ac:dyDescent="0.35">
      <c r="A67" s="359" t="s">
        <v>346</v>
      </c>
      <c r="B67" s="360"/>
      <c r="C67" s="361" t="s">
        <v>564</v>
      </c>
      <c r="D67" s="361"/>
      <c r="E67" s="361"/>
      <c r="F67" s="361"/>
      <c r="G67" s="359"/>
      <c r="H67" s="362">
        <v>27000</v>
      </c>
      <c r="I67" s="359"/>
      <c r="J67" s="362">
        <v>0</v>
      </c>
      <c r="K67" s="359"/>
      <c r="L67" s="362">
        <v>0</v>
      </c>
      <c r="M67" s="359"/>
      <c r="N67" s="362">
        <v>0</v>
      </c>
      <c r="O67" s="359"/>
      <c r="P67" s="362">
        <v>0</v>
      </c>
      <c r="Q67" s="359"/>
      <c r="R67" s="362">
        <v>0</v>
      </c>
      <c r="S67" s="363"/>
      <c r="T67" s="359"/>
      <c r="U67" s="362">
        <v>27000</v>
      </c>
      <c r="V67" s="359"/>
      <c r="W67" s="362">
        <v>0</v>
      </c>
      <c r="X67" s="359"/>
      <c r="Y67" s="362">
        <v>0</v>
      </c>
      <c r="Z67" s="359"/>
      <c r="AA67" s="362">
        <v>0</v>
      </c>
      <c r="AB67" s="359"/>
      <c r="AC67" s="362">
        <v>0</v>
      </c>
      <c r="AD67" s="359"/>
      <c r="AE67" s="362">
        <v>0</v>
      </c>
      <c r="AF67" s="363"/>
    </row>
    <row r="68" spans="1:32" ht="17.649999999999999" collapsed="1" x14ac:dyDescent="0.35">
      <c r="A68" s="364"/>
      <c r="B68" s="360" t="s">
        <v>347</v>
      </c>
      <c r="C68" s="365" t="s">
        <v>348</v>
      </c>
      <c r="D68" s="365"/>
      <c r="E68" s="365"/>
      <c r="F68" s="365"/>
      <c r="G68" s="359"/>
      <c r="H68" s="362">
        <v>27000</v>
      </c>
      <c r="I68" s="359"/>
      <c r="J68" s="362">
        <v>0</v>
      </c>
      <c r="K68" s="359"/>
      <c r="L68" s="362">
        <v>0</v>
      </c>
      <c r="M68" s="359"/>
      <c r="N68" s="362">
        <v>0</v>
      </c>
      <c r="O68" s="359"/>
      <c r="P68" s="362">
        <v>0</v>
      </c>
      <c r="Q68" s="359"/>
      <c r="R68" s="362">
        <v>0</v>
      </c>
      <c r="S68" s="363"/>
      <c r="T68" s="359"/>
      <c r="U68" s="362">
        <v>27000</v>
      </c>
      <c r="V68" s="359"/>
      <c r="W68" s="362">
        <v>0</v>
      </c>
      <c r="X68" s="359"/>
      <c r="Y68" s="362">
        <v>0</v>
      </c>
      <c r="Z68" s="359"/>
      <c r="AA68" s="362">
        <v>0</v>
      </c>
      <c r="AB68" s="359"/>
      <c r="AC68" s="362">
        <v>0</v>
      </c>
      <c r="AD68" s="359"/>
      <c r="AE68" s="362">
        <v>0</v>
      </c>
      <c r="AF68" s="363"/>
    </row>
    <row r="69" spans="1:32" ht="88.15" hidden="1" outlineLevel="1" collapsed="1" x14ac:dyDescent="0.35">
      <c r="A69" s="364"/>
      <c r="B69" s="360"/>
      <c r="C69" s="365"/>
      <c r="D69" s="360"/>
      <c r="E69" s="360" t="s">
        <v>509</v>
      </c>
      <c r="F69" s="365" t="s">
        <v>510</v>
      </c>
      <c r="G69" s="360"/>
      <c r="H69" s="366">
        <v>27000</v>
      </c>
      <c r="I69" s="360"/>
      <c r="J69" s="366">
        <v>0</v>
      </c>
      <c r="K69" s="360"/>
      <c r="L69" s="366">
        <v>0</v>
      </c>
      <c r="M69" s="360"/>
      <c r="N69" s="366">
        <v>0</v>
      </c>
      <c r="O69" s="360"/>
      <c r="P69" s="366">
        <v>0</v>
      </c>
      <c r="Q69" s="360"/>
      <c r="R69" s="366">
        <v>0</v>
      </c>
      <c r="S69" s="367" t="s">
        <v>565</v>
      </c>
      <c r="T69" s="360"/>
      <c r="U69" s="366">
        <v>27000</v>
      </c>
      <c r="V69" s="360"/>
      <c r="W69" s="366">
        <v>0</v>
      </c>
      <c r="X69" s="360"/>
      <c r="Y69" s="366">
        <v>0</v>
      </c>
      <c r="Z69" s="360"/>
      <c r="AA69" s="366">
        <v>0</v>
      </c>
      <c r="AB69" s="360"/>
      <c r="AC69" s="366">
        <v>0</v>
      </c>
      <c r="AD69" s="360"/>
      <c r="AE69" s="366">
        <v>0</v>
      </c>
      <c r="AF69" s="367"/>
    </row>
    <row r="70" spans="1:32" ht="17.649999999999999" x14ac:dyDescent="0.35">
      <c r="A70" s="359" t="s">
        <v>566</v>
      </c>
      <c r="B70" s="360"/>
      <c r="C70" s="361" t="s">
        <v>567</v>
      </c>
      <c r="D70" s="361"/>
      <c r="E70" s="361"/>
      <c r="F70" s="361"/>
      <c r="G70" s="359"/>
      <c r="H70" s="362">
        <v>29600</v>
      </c>
      <c r="I70" s="359"/>
      <c r="J70" s="362">
        <v>29600</v>
      </c>
      <c r="K70" s="359"/>
      <c r="L70" s="362">
        <v>0</v>
      </c>
      <c r="M70" s="359"/>
      <c r="N70" s="362">
        <v>0</v>
      </c>
      <c r="O70" s="359"/>
      <c r="P70" s="362">
        <v>0</v>
      </c>
      <c r="Q70" s="359"/>
      <c r="R70" s="362">
        <v>0</v>
      </c>
      <c r="S70" s="363"/>
      <c r="T70" s="359"/>
      <c r="U70" s="362">
        <v>6300</v>
      </c>
      <c r="V70" s="359"/>
      <c r="W70" s="362">
        <v>6300</v>
      </c>
      <c r="X70" s="359"/>
      <c r="Y70" s="362">
        <v>0</v>
      </c>
      <c r="Z70" s="359"/>
      <c r="AA70" s="362">
        <v>0</v>
      </c>
      <c r="AB70" s="359"/>
      <c r="AC70" s="362">
        <v>0</v>
      </c>
      <c r="AD70" s="359"/>
      <c r="AE70" s="362">
        <v>0</v>
      </c>
      <c r="AF70" s="363"/>
    </row>
    <row r="71" spans="1:32" ht="17.649999999999999" collapsed="1" x14ac:dyDescent="0.35">
      <c r="A71" s="364"/>
      <c r="B71" s="360" t="s">
        <v>358</v>
      </c>
      <c r="C71" s="365" t="s">
        <v>359</v>
      </c>
      <c r="D71" s="365"/>
      <c r="E71" s="365"/>
      <c r="F71" s="365"/>
      <c r="G71" s="359"/>
      <c r="H71" s="362">
        <v>6600</v>
      </c>
      <c r="I71" s="359"/>
      <c r="J71" s="362">
        <v>6600</v>
      </c>
      <c r="K71" s="359"/>
      <c r="L71" s="362">
        <v>0</v>
      </c>
      <c r="M71" s="359"/>
      <c r="N71" s="362">
        <v>0</v>
      </c>
      <c r="O71" s="359"/>
      <c r="P71" s="362">
        <v>0</v>
      </c>
      <c r="Q71" s="359"/>
      <c r="R71" s="362">
        <v>0</v>
      </c>
      <c r="S71" s="363"/>
      <c r="T71" s="359"/>
      <c r="U71" s="362">
        <v>6300</v>
      </c>
      <c r="V71" s="359"/>
      <c r="W71" s="362">
        <v>6300</v>
      </c>
      <c r="X71" s="359"/>
      <c r="Y71" s="362">
        <v>0</v>
      </c>
      <c r="Z71" s="359"/>
      <c r="AA71" s="362">
        <v>0</v>
      </c>
      <c r="AB71" s="359"/>
      <c r="AC71" s="362">
        <v>0</v>
      </c>
      <c r="AD71" s="359"/>
      <c r="AE71" s="362">
        <v>0</v>
      </c>
      <c r="AF71" s="363"/>
    </row>
    <row r="72" spans="1:32" ht="105.75" hidden="1" outlineLevel="1" collapsed="1" x14ac:dyDescent="0.35">
      <c r="A72" s="364"/>
      <c r="B72" s="360"/>
      <c r="C72" s="365"/>
      <c r="D72" s="360"/>
      <c r="E72" s="360" t="s">
        <v>509</v>
      </c>
      <c r="F72" s="365" t="s">
        <v>514</v>
      </c>
      <c r="G72" s="360"/>
      <c r="H72" s="366">
        <v>6600</v>
      </c>
      <c r="I72" s="360"/>
      <c r="J72" s="366">
        <v>6600</v>
      </c>
      <c r="K72" s="360"/>
      <c r="L72" s="366">
        <v>0</v>
      </c>
      <c r="M72" s="360"/>
      <c r="N72" s="366">
        <v>0</v>
      </c>
      <c r="O72" s="360"/>
      <c r="P72" s="366">
        <v>0</v>
      </c>
      <c r="Q72" s="360"/>
      <c r="R72" s="366">
        <v>0</v>
      </c>
      <c r="S72" s="367" t="s">
        <v>568</v>
      </c>
      <c r="T72" s="360"/>
      <c r="U72" s="366">
        <v>6300</v>
      </c>
      <c r="V72" s="360"/>
      <c r="W72" s="366">
        <v>6300</v>
      </c>
      <c r="X72" s="360"/>
      <c r="Y72" s="366">
        <v>0</v>
      </c>
      <c r="Z72" s="360"/>
      <c r="AA72" s="366">
        <v>0</v>
      </c>
      <c r="AB72" s="360"/>
      <c r="AC72" s="366">
        <v>0</v>
      </c>
      <c r="AD72" s="360"/>
      <c r="AE72" s="366">
        <v>0</v>
      </c>
      <c r="AF72" s="367" t="s">
        <v>569</v>
      </c>
    </row>
    <row r="73" spans="1:32" ht="17.649999999999999" collapsed="1" x14ac:dyDescent="0.35">
      <c r="A73" s="364"/>
      <c r="B73" s="360" t="s">
        <v>363</v>
      </c>
      <c r="C73" s="365" t="s">
        <v>364</v>
      </c>
      <c r="D73" s="365"/>
      <c r="E73" s="365"/>
      <c r="F73" s="365"/>
      <c r="G73" s="359"/>
      <c r="H73" s="362">
        <v>23000</v>
      </c>
      <c r="I73" s="359"/>
      <c r="J73" s="362">
        <v>23000</v>
      </c>
      <c r="K73" s="359"/>
      <c r="L73" s="362">
        <v>0</v>
      </c>
      <c r="M73" s="359"/>
      <c r="N73" s="362">
        <v>0</v>
      </c>
      <c r="O73" s="359"/>
      <c r="P73" s="362">
        <v>0</v>
      </c>
      <c r="Q73" s="359"/>
      <c r="R73" s="362">
        <v>0</v>
      </c>
      <c r="S73" s="363"/>
      <c r="T73" s="359"/>
      <c r="U73" s="362">
        <v>0</v>
      </c>
      <c r="V73" s="359"/>
      <c r="W73" s="362">
        <v>0</v>
      </c>
      <c r="X73" s="359"/>
      <c r="Y73" s="362">
        <v>0</v>
      </c>
      <c r="Z73" s="359"/>
      <c r="AA73" s="362">
        <v>0</v>
      </c>
      <c r="AB73" s="359"/>
      <c r="AC73" s="362">
        <v>0</v>
      </c>
      <c r="AD73" s="359"/>
      <c r="AE73" s="362">
        <v>0</v>
      </c>
      <c r="AF73" s="363"/>
    </row>
    <row r="74" spans="1:32" ht="123.4" hidden="1" outlineLevel="1" collapsed="1" x14ac:dyDescent="0.35">
      <c r="A74" s="364"/>
      <c r="B74" s="360"/>
      <c r="C74" s="365"/>
      <c r="D74" s="360"/>
      <c r="E74" s="360" t="s">
        <v>509</v>
      </c>
      <c r="F74" s="365" t="s">
        <v>514</v>
      </c>
      <c r="G74" s="360"/>
      <c r="H74" s="366">
        <v>23000</v>
      </c>
      <c r="I74" s="360"/>
      <c r="J74" s="366">
        <v>23000</v>
      </c>
      <c r="K74" s="360"/>
      <c r="L74" s="366">
        <v>0</v>
      </c>
      <c r="M74" s="360"/>
      <c r="N74" s="366">
        <v>0</v>
      </c>
      <c r="O74" s="360"/>
      <c r="P74" s="366">
        <v>0</v>
      </c>
      <c r="Q74" s="360"/>
      <c r="R74" s="366">
        <v>0</v>
      </c>
      <c r="S74" s="367" t="s">
        <v>570</v>
      </c>
      <c r="T74" s="360"/>
      <c r="U74" s="366">
        <v>0</v>
      </c>
      <c r="V74" s="360"/>
      <c r="W74" s="366">
        <v>0</v>
      </c>
      <c r="X74" s="360"/>
      <c r="Y74" s="366">
        <v>0</v>
      </c>
      <c r="Z74" s="360"/>
      <c r="AA74" s="366">
        <v>0</v>
      </c>
      <c r="AB74" s="360"/>
      <c r="AC74" s="366">
        <v>0</v>
      </c>
      <c r="AD74" s="360"/>
      <c r="AE74" s="366">
        <v>0</v>
      </c>
      <c r="AF74" s="367" t="s">
        <v>571</v>
      </c>
    </row>
    <row r="75" spans="1:32" ht="35.25" x14ac:dyDescent="0.35">
      <c r="A75" s="359" t="s">
        <v>351</v>
      </c>
      <c r="B75" s="360"/>
      <c r="C75" s="361" t="s">
        <v>572</v>
      </c>
      <c r="D75" s="361"/>
      <c r="E75" s="361"/>
      <c r="F75" s="361"/>
      <c r="G75" s="359"/>
      <c r="H75" s="362">
        <v>220000</v>
      </c>
      <c r="I75" s="359"/>
      <c r="J75" s="362">
        <v>0</v>
      </c>
      <c r="K75" s="359"/>
      <c r="L75" s="362">
        <v>0</v>
      </c>
      <c r="M75" s="359"/>
      <c r="N75" s="362">
        <v>0</v>
      </c>
      <c r="O75" s="359"/>
      <c r="P75" s="362">
        <v>0</v>
      </c>
      <c r="Q75" s="359"/>
      <c r="R75" s="362">
        <v>0</v>
      </c>
      <c r="S75" s="363"/>
      <c r="T75" s="359"/>
      <c r="U75" s="362">
        <v>220000</v>
      </c>
      <c r="V75" s="359"/>
      <c r="W75" s="362">
        <v>0</v>
      </c>
      <c r="X75" s="359"/>
      <c r="Y75" s="362">
        <v>0</v>
      </c>
      <c r="Z75" s="359"/>
      <c r="AA75" s="362">
        <v>0</v>
      </c>
      <c r="AB75" s="359"/>
      <c r="AC75" s="362">
        <v>0</v>
      </c>
      <c r="AD75" s="359"/>
      <c r="AE75" s="362">
        <v>0</v>
      </c>
      <c r="AF75" s="363"/>
    </row>
    <row r="76" spans="1:32" ht="35.25" collapsed="1" x14ac:dyDescent="0.35">
      <c r="A76" s="364"/>
      <c r="B76" s="360">
        <v>5031131000</v>
      </c>
      <c r="C76" s="365" t="s">
        <v>352</v>
      </c>
      <c r="D76" s="365"/>
      <c r="E76" s="365"/>
      <c r="F76" s="365"/>
      <c r="G76" s="359"/>
      <c r="H76" s="362">
        <v>220000</v>
      </c>
      <c r="I76" s="359"/>
      <c r="J76" s="362">
        <v>0</v>
      </c>
      <c r="K76" s="359"/>
      <c r="L76" s="362">
        <v>0</v>
      </c>
      <c r="M76" s="359"/>
      <c r="N76" s="362">
        <v>0</v>
      </c>
      <c r="O76" s="359"/>
      <c r="P76" s="362">
        <v>0</v>
      </c>
      <c r="Q76" s="359"/>
      <c r="R76" s="362">
        <v>0</v>
      </c>
      <c r="S76" s="363"/>
      <c r="T76" s="359"/>
      <c r="U76" s="362">
        <v>220000</v>
      </c>
      <c r="V76" s="359"/>
      <c r="W76" s="362">
        <v>0</v>
      </c>
      <c r="X76" s="359"/>
      <c r="Y76" s="362">
        <v>0</v>
      </c>
      <c r="Z76" s="359"/>
      <c r="AA76" s="362">
        <v>0</v>
      </c>
      <c r="AB76" s="359"/>
      <c r="AC76" s="362">
        <v>0</v>
      </c>
      <c r="AD76" s="359"/>
      <c r="AE76" s="362">
        <v>0</v>
      </c>
      <c r="AF76" s="363"/>
    </row>
    <row r="77" spans="1:32" ht="70.5" hidden="1" outlineLevel="1" collapsed="1" x14ac:dyDescent="0.35">
      <c r="A77" s="364"/>
      <c r="B77" s="360"/>
      <c r="C77" s="365"/>
      <c r="D77" s="360"/>
      <c r="E77" s="360" t="s">
        <v>509</v>
      </c>
      <c r="F77" s="365" t="s">
        <v>514</v>
      </c>
      <c r="G77" s="360"/>
      <c r="H77" s="366">
        <v>220000</v>
      </c>
      <c r="I77" s="360"/>
      <c r="J77" s="366">
        <v>0</v>
      </c>
      <c r="K77" s="360"/>
      <c r="L77" s="366">
        <v>0</v>
      </c>
      <c r="M77" s="360"/>
      <c r="N77" s="366">
        <v>0</v>
      </c>
      <c r="O77" s="360"/>
      <c r="P77" s="366">
        <v>0</v>
      </c>
      <c r="Q77" s="360"/>
      <c r="R77" s="366">
        <v>0</v>
      </c>
      <c r="S77" s="367" t="s">
        <v>573</v>
      </c>
      <c r="T77" s="360"/>
      <c r="U77" s="366">
        <v>220000</v>
      </c>
      <c r="V77" s="360"/>
      <c r="W77" s="366">
        <v>0</v>
      </c>
      <c r="X77" s="360"/>
      <c r="Y77" s="366">
        <v>0</v>
      </c>
      <c r="Z77" s="360"/>
      <c r="AA77" s="366">
        <v>0</v>
      </c>
      <c r="AB77" s="360"/>
      <c r="AC77" s="366">
        <v>0</v>
      </c>
      <c r="AD77" s="360"/>
      <c r="AE77" s="366">
        <v>0</v>
      </c>
      <c r="AF77" s="367"/>
    </row>
    <row r="78" spans="1:32" ht="17.649999999999999" x14ac:dyDescent="0.35">
      <c r="A78" s="864" t="s">
        <v>574</v>
      </c>
      <c r="B78" s="865"/>
      <c r="C78" s="866"/>
      <c r="D78" s="352"/>
      <c r="E78" s="352"/>
      <c r="F78" s="352"/>
      <c r="G78" s="353"/>
      <c r="H78" s="354">
        <v>0</v>
      </c>
      <c r="I78" s="353"/>
      <c r="J78" s="354">
        <v>0</v>
      </c>
      <c r="K78" s="353"/>
      <c r="L78" s="354">
        <v>0</v>
      </c>
      <c r="M78" s="353"/>
      <c r="N78" s="354">
        <v>0</v>
      </c>
      <c r="O78" s="353"/>
      <c r="P78" s="354">
        <v>0</v>
      </c>
      <c r="Q78" s="353"/>
      <c r="R78" s="354">
        <v>0</v>
      </c>
      <c r="S78" s="355"/>
      <c r="T78" s="356"/>
      <c r="U78" s="357">
        <v>-73514100</v>
      </c>
      <c r="V78" s="356"/>
      <c r="W78" s="357">
        <v>0</v>
      </c>
      <c r="X78" s="356"/>
      <c r="Y78" s="357">
        <v>0</v>
      </c>
      <c r="Z78" s="356"/>
      <c r="AA78" s="357">
        <v>0</v>
      </c>
      <c r="AB78" s="356"/>
      <c r="AC78" s="357">
        <v>0</v>
      </c>
      <c r="AD78" s="356"/>
      <c r="AE78" s="357">
        <v>0</v>
      </c>
      <c r="AF78" s="358"/>
    </row>
    <row r="79" spans="1:32" ht="17.649999999999999" x14ac:dyDescent="0.35">
      <c r="A79" s="359" t="s">
        <v>575</v>
      </c>
      <c r="B79" s="360"/>
      <c r="C79" s="361" t="s">
        <v>576</v>
      </c>
      <c r="D79" s="361"/>
      <c r="E79" s="361"/>
      <c r="F79" s="361"/>
      <c r="G79" s="359"/>
      <c r="H79" s="362">
        <v>0</v>
      </c>
      <c r="I79" s="359"/>
      <c r="J79" s="362">
        <v>0</v>
      </c>
      <c r="K79" s="359"/>
      <c r="L79" s="362">
        <v>0</v>
      </c>
      <c r="M79" s="359"/>
      <c r="N79" s="362">
        <v>0</v>
      </c>
      <c r="O79" s="359"/>
      <c r="P79" s="362">
        <v>0</v>
      </c>
      <c r="Q79" s="359"/>
      <c r="R79" s="362">
        <v>0</v>
      </c>
      <c r="S79" s="363"/>
      <c r="T79" s="359"/>
      <c r="U79" s="362">
        <v>-73514100</v>
      </c>
      <c r="V79" s="359"/>
      <c r="W79" s="362">
        <v>0</v>
      </c>
      <c r="X79" s="359"/>
      <c r="Y79" s="362">
        <v>0</v>
      </c>
      <c r="Z79" s="359"/>
      <c r="AA79" s="362">
        <v>0</v>
      </c>
      <c r="AB79" s="359"/>
      <c r="AC79" s="362">
        <v>0</v>
      </c>
      <c r="AD79" s="359"/>
      <c r="AE79" s="362">
        <v>0</v>
      </c>
      <c r="AF79" s="363"/>
    </row>
    <row r="80" spans="1:32" ht="35.25" collapsed="1" x14ac:dyDescent="0.35">
      <c r="A80" s="364"/>
      <c r="B80" s="360" t="s">
        <v>577</v>
      </c>
      <c r="C80" s="365" t="s">
        <v>578</v>
      </c>
      <c r="D80" s="365"/>
      <c r="E80" s="365"/>
      <c r="F80" s="365"/>
      <c r="G80" s="359"/>
      <c r="H80" s="362">
        <v>0</v>
      </c>
      <c r="I80" s="359"/>
      <c r="J80" s="362">
        <v>0</v>
      </c>
      <c r="K80" s="359"/>
      <c r="L80" s="362">
        <v>0</v>
      </c>
      <c r="M80" s="359"/>
      <c r="N80" s="362">
        <v>0</v>
      </c>
      <c r="O80" s="359"/>
      <c r="P80" s="362">
        <v>0</v>
      </c>
      <c r="Q80" s="359"/>
      <c r="R80" s="362">
        <v>0</v>
      </c>
      <c r="S80" s="363"/>
      <c r="T80" s="359"/>
      <c r="U80" s="362">
        <v>-73514100</v>
      </c>
      <c r="V80" s="359"/>
      <c r="W80" s="362">
        <v>0</v>
      </c>
      <c r="X80" s="359"/>
      <c r="Y80" s="362">
        <v>0</v>
      </c>
      <c r="Z80" s="359"/>
      <c r="AA80" s="362">
        <v>0</v>
      </c>
      <c r="AB80" s="359"/>
      <c r="AC80" s="362">
        <v>0</v>
      </c>
      <c r="AD80" s="359"/>
      <c r="AE80" s="362">
        <v>0</v>
      </c>
      <c r="AF80" s="363"/>
    </row>
    <row r="81" spans="1:32" ht="35.25" hidden="1" outlineLevel="1" collapsed="1" x14ac:dyDescent="0.35">
      <c r="A81" s="364"/>
      <c r="B81" s="360"/>
      <c r="C81" s="365"/>
      <c r="D81" s="360"/>
      <c r="E81" s="360" t="s">
        <v>509</v>
      </c>
      <c r="F81" s="365" t="s">
        <v>510</v>
      </c>
      <c r="G81" s="360"/>
      <c r="H81" s="366">
        <v>0</v>
      </c>
      <c r="I81" s="360"/>
      <c r="J81" s="366">
        <v>0</v>
      </c>
      <c r="K81" s="360"/>
      <c r="L81" s="366">
        <v>0</v>
      </c>
      <c r="M81" s="360"/>
      <c r="N81" s="366">
        <v>0</v>
      </c>
      <c r="O81" s="360"/>
      <c r="P81" s="366">
        <v>0</v>
      </c>
      <c r="Q81" s="360"/>
      <c r="R81" s="366">
        <v>0</v>
      </c>
      <c r="S81" s="367"/>
      <c r="T81" s="360"/>
      <c r="U81" s="366">
        <v>-73514100</v>
      </c>
      <c r="V81" s="360"/>
      <c r="W81" s="366">
        <v>0</v>
      </c>
      <c r="X81" s="360"/>
      <c r="Y81" s="366">
        <v>0</v>
      </c>
      <c r="Z81" s="360"/>
      <c r="AA81" s="366">
        <v>0</v>
      </c>
      <c r="AB81" s="360"/>
      <c r="AC81" s="366">
        <v>0</v>
      </c>
      <c r="AD81" s="360"/>
      <c r="AE81" s="366">
        <v>0</v>
      </c>
      <c r="AF81" s="367" t="s">
        <v>579</v>
      </c>
    </row>
    <row r="82" spans="1:32" ht="17.649999999999999" x14ac:dyDescent="0.35">
      <c r="A82" s="871" t="s">
        <v>580</v>
      </c>
      <c r="B82" s="872"/>
      <c r="C82" s="873"/>
      <c r="D82" s="344"/>
      <c r="E82" s="344"/>
      <c r="F82" s="344"/>
      <c r="G82" s="345">
        <v>59</v>
      </c>
      <c r="H82" s="346">
        <v>30259742</v>
      </c>
      <c r="I82" s="345"/>
      <c r="J82" s="346">
        <v>0</v>
      </c>
      <c r="K82" s="345"/>
      <c r="L82" s="346">
        <v>0</v>
      </c>
      <c r="M82" s="345"/>
      <c r="N82" s="346">
        <v>0</v>
      </c>
      <c r="O82" s="345"/>
      <c r="P82" s="346">
        <v>0</v>
      </c>
      <c r="Q82" s="345"/>
      <c r="R82" s="346">
        <v>0</v>
      </c>
      <c r="S82" s="347"/>
      <c r="T82" s="348">
        <v>56</v>
      </c>
      <c r="U82" s="349">
        <v>29633600</v>
      </c>
      <c r="V82" s="348"/>
      <c r="W82" s="349">
        <v>0</v>
      </c>
      <c r="X82" s="348"/>
      <c r="Y82" s="349">
        <v>0</v>
      </c>
      <c r="Z82" s="348"/>
      <c r="AA82" s="349">
        <v>0</v>
      </c>
      <c r="AB82" s="348"/>
      <c r="AC82" s="349">
        <v>0</v>
      </c>
      <c r="AD82" s="348"/>
      <c r="AE82" s="349">
        <v>0</v>
      </c>
      <c r="AF82" s="350"/>
    </row>
    <row r="83" spans="1:32" ht="17.649999999999999" x14ac:dyDescent="0.35">
      <c r="A83" s="864" t="s">
        <v>463</v>
      </c>
      <c r="B83" s="865"/>
      <c r="C83" s="866"/>
      <c r="D83" s="352"/>
      <c r="E83" s="352"/>
      <c r="F83" s="352"/>
      <c r="G83" s="353">
        <v>59</v>
      </c>
      <c r="H83" s="354">
        <v>30259742</v>
      </c>
      <c r="I83" s="353"/>
      <c r="J83" s="354">
        <v>0</v>
      </c>
      <c r="K83" s="353"/>
      <c r="L83" s="354">
        <v>0</v>
      </c>
      <c r="M83" s="353"/>
      <c r="N83" s="354">
        <v>0</v>
      </c>
      <c r="O83" s="353"/>
      <c r="P83" s="354">
        <v>0</v>
      </c>
      <c r="Q83" s="353"/>
      <c r="R83" s="354">
        <v>0</v>
      </c>
      <c r="S83" s="355"/>
      <c r="T83" s="356">
        <v>56</v>
      </c>
      <c r="U83" s="357">
        <v>29633600</v>
      </c>
      <c r="V83" s="356"/>
      <c r="W83" s="357">
        <v>0</v>
      </c>
      <c r="X83" s="356"/>
      <c r="Y83" s="357">
        <v>0</v>
      </c>
      <c r="Z83" s="356"/>
      <c r="AA83" s="357">
        <v>0</v>
      </c>
      <c r="AB83" s="356"/>
      <c r="AC83" s="357">
        <v>0</v>
      </c>
      <c r="AD83" s="356"/>
      <c r="AE83" s="357">
        <v>0</v>
      </c>
      <c r="AF83" s="358"/>
    </row>
    <row r="84" spans="1:32" ht="17.649999999999999" x14ac:dyDescent="0.35">
      <c r="A84" s="359" t="s">
        <v>581</v>
      </c>
      <c r="B84" s="874" t="s">
        <v>582</v>
      </c>
      <c r="C84" s="875"/>
      <c r="D84" s="368"/>
      <c r="E84" s="368"/>
      <c r="F84" s="368"/>
      <c r="G84" s="359">
        <v>2</v>
      </c>
      <c r="H84" s="362">
        <v>46000</v>
      </c>
      <c r="I84" s="359"/>
      <c r="J84" s="362">
        <v>0</v>
      </c>
      <c r="K84" s="359"/>
      <c r="L84" s="362">
        <v>0</v>
      </c>
      <c r="M84" s="359"/>
      <c r="N84" s="362">
        <v>0</v>
      </c>
      <c r="O84" s="359"/>
      <c r="P84" s="362">
        <v>0</v>
      </c>
      <c r="Q84" s="359"/>
      <c r="R84" s="362">
        <v>0</v>
      </c>
      <c r="S84" s="363"/>
      <c r="T84" s="359">
        <v>2</v>
      </c>
      <c r="U84" s="362">
        <v>46000</v>
      </c>
      <c r="V84" s="359"/>
      <c r="W84" s="362">
        <v>0</v>
      </c>
      <c r="X84" s="359"/>
      <c r="Y84" s="362">
        <v>0</v>
      </c>
      <c r="Z84" s="359"/>
      <c r="AA84" s="362">
        <v>0</v>
      </c>
      <c r="AB84" s="359"/>
      <c r="AC84" s="362">
        <v>0</v>
      </c>
      <c r="AD84" s="359"/>
      <c r="AE84" s="362">
        <v>0</v>
      </c>
      <c r="AF84" s="363"/>
    </row>
    <row r="85" spans="1:32" ht="17.649999999999999" collapsed="1" x14ac:dyDescent="0.35">
      <c r="A85" s="364"/>
      <c r="B85" s="360" t="s">
        <v>189</v>
      </c>
      <c r="C85" s="365" t="s">
        <v>191</v>
      </c>
      <c r="D85" s="365"/>
      <c r="E85" s="365"/>
      <c r="F85" s="365"/>
      <c r="G85" s="359">
        <v>1</v>
      </c>
      <c r="H85" s="362">
        <v>38000</v>
      </c>
      <c r="I85" s="359"/>
      <c r="J85" s="362">
        <v>0</v>
      </c>
      <c r="K85" s="359"/>
      <c r="L85" s="362">
        <v>0</v>
      </c>
      <c r="M85" s="359"/>
      <c r="N85" s="362">
        <v>0</v>
      </c>
      <c r="O85" s="359"/>
      <c r="P85" s="362">
        <v>0</v>
      </c>
      <c r="Q85" s="359"/>
      <c r="R85" s="362">
        <v>0</v>
      </c>
      <c r="S85" s="363"/>
      <c r="T85" s="359">
        <v>1</v>
      </c>
      <c r="U85" s="362">
        <v>38000</v>
      </c>
      <c r="V85" s="359"/>
      <c r="W85" s="362">
        <v>0</v>
      </c>
      <c r="X85" s="359"/>
      <c r="Y85" s="362">
        <v>0</v>
      </c>
      <c r="Z85" s="359"/>
      <c r="AA85" s="362">
        <v>0</v>
      </c>
      <c r="AB85" s="359"/>
      <c r="AC85" s="362">
        <v>0</v>
      </c>
      <c r="AD85" s="359"/>
      <c r="AE85" s="362">
        <v>0</v>
      </c>
      <c r="AF85" s="363"/>
    </row>
    <row r="86" spans="1:32" ht="88.15" hidden="1" outlineLevel="1" collapsed="1" x14ac:dyDescent="0.35">
      <c r="A86" s="364"/>
      <c r="B86" s="360"/>
      <c r="C86" s="365"/>
      <c r="D86" s="360"/>
      <c r="E86" s="360" t="s">
        <v>509</v>
      </c>
      <c r="F86" s="365" t="s">
        <v>514</v>
      </c>
      <c r="G86" s="360">
        <v>1</v>
      </c>
      <c r="H86" s="366">
        <v>38000</v>
      </c>
      <c r="I86" s="360"/>
      <c r="J86" s="366">
        <v>0</v>
      </c>
      <c r="K86" s="360"/>
      <c r="L86" s="366">
        <v>0</v>
      </c>
      <c r="M86" s="360"/>
      <c r="N86" s="366">
        <v>0</v>
      </c>
      <c r="O86" s="360"/>
      <c r="P86" s="366">
        <v>0</v>
      </c>
      <c r="Q86" s="360"/>
      <c r="R86" s="366">
        <v>0</v>
      </c>
      <c r="S86" s="367" t="s">
        <v>583</v>
      </c>
      <c r="T86" s="360">
        <v>1</v>
      </c>
      <c r="U86" s="366">
        <v>38000</v>
      </c>
      <c r="V86" s="360"/>
      <c r="W86" s="366">
        <v>0</v>
      </c>
      <c r="X86" s="360"/>
      <c r="Y86" s="366">
        <v>0</v>
      </c>
      <c r="Z86" s="360"/>
      <c r="AA86" s="366">
        <v>0</v>
      </c>
      <c r="AB86" s="360"/>
      <c r="AC86" s="366">
        <v>0</v>
      </c>
      <c r="AD86" s="360"/>
      <c r="AE86" s="366">
        <v>0</v>
      </c>
      <c r="AF86" s="367" t="s">
        <v>584</v>
      </c>
    </row>
    <row r="87" spans="1:32" ht="17.649999999999999" collapsed="1" x14ac:dyDescent="0.35">
      <c r="A87" s="364"/>
      <c r="B87" s="360" t="s">
        <v>205</v>
      </c>
      <c r="C87" s="365" t="s">
        <v>207</v>
      </c>
      <c r="D87" s="365"/>
      <c r="E87" s="365"/>
      <c r="F87" s="365"/>
      <c r="G87" s="359">
        <v>1</v>
      </c>
      <c r="H87" s="362">
        <v>8000</v>
      </c>
      <c r="I87" s="359"/>
      <c r="J87" s="362">
        <v>0</v>
      </c>
      <c r="K87" s="359"/>
      <c r="L87" s="362">
        <v>0</v>
      </c>
      <c r="M87" s="359"/>
      <c r="N87" s="362">
        <v>0</v>
      </c>
      <c r="O87" s="359"/>
      <c r="P87" s="362">
        <v>0</v>
      </c>
      <c r="Q87" s="359"/>
      <c r="R87" s="362">
        <v>0</v>
      </c>
      <c r="S87" s="363"/>
      <c r="T87" s="359">
        <v>1</v>
      </c>
      <c r="U87" s="362">
        <v>8000</v>
      </c>
      <c r="V87" s="359"/>
      <c r="W87" s="362">
        <v>0</v>
      </c>
      <c r="X87" s="359"/>
      <c r="Y87" s="362">
        <v>0</v>
      </c>
      <c r="Z87" s="359"/>
      <c r="AA87" s="362">
        <v>0</v>
      </c>
      <c r="AB87" s="359"/>
      <c r="AC87" s="362">
        <v>0</v>
      </c>
      <c r="AD87" s="359"/>
      <c r="AE87" s="362">
        <v>0</v>
      </c>
      <c r="AF87" s="363"/>
    </row>
    <row r="88" spans="1:32" ht="88.15" hidden="1" outlineLevel="1" collapsed="1" x14ac:dyDescent="0.35">
      <c r="A88" s="364"/>
      <c r="B88" s="360"/>
      <c r="C88" s="365"/>
      <c r="D88" s="360"/>
      <c r="E88" s="360" t="s">
        <v>509</v>
      </c>
      <c r="F88" s="365" t="s">
        <v>514</v>
      </c>
      <c r="G88" s="360">
        <v>1</v>
      </c>
      <c r="H88" s="366">
        <v>8000</v>
      </c>
      <c r="I88" s="360"/>
      <c r="J88" s="366">
        <v>0</v>
      </c>
      <c r="K88" s="360"/>
      <c r="L88" s="366">
        <v>0</v>
      </c>
      <c r="M88" s="360"/>
      <c r="N88" s="366">
        <v>0</v>
      </c>
      <c r="O88" s="360"/>
      <c r="P88" s="366">
        <v>0</v>
      </c>
      <c r="Q88" s="360"/>
      <c r="R88" s="366">
        <v>0</v>
      </c>
      <c r="S88" s="367" t="s">
        <v>583</v>
      </c>
      <c r="T88" s="360">
        <v>1</v>
      </c>
      <c r="U88" s="366">
        <v>8000</v>
      </c>
      <c r="V88" s="360"/>
      <c r="W88" s="366">
        <v>0</v>
      </c>
      <c r="X88" s="360"/>
      <c r="Y88" s="366">
        <v>0</v>
      </c>
      <c r="Z88" s="360"/>
      <c r="AA88" s="366">
        <v>0</v>
      </c>
      <c r="AB88" s="360"/>
      <c r="AC88" s="366">
        <v>0</v>
      </c>
      <c r="AD88" s="360"/>
      <c r="AE88" s="366">
        <v>0</v>
      </c>
      <c r="AF88" s="367" t="s">
        <v>585</v>
      </c>
    </row>
    <row r="89" spans="1:32" ht="17.649999999999999" x14ac:dyDescent="0.35">
      <c r="A89" s="359" t="s">
        <v>586</v>
      </c>
      <c r="B89" s="874" t="s">
        <v>587</v>
      </c>
      <c r="C89" s="875"/>
      <c r="D89" s="368"/>
      <c r="E89" s="368"/>
      <c r="F89" s="368"/>
      <c r="G89" s="359">
        <v>6</v>
      </c>
      <c r="H89" s="362">
        <v>45000</v>
      </c>
      <c r="I89" s="359"/>
      <c r="J89" s="362">
        <v>0</v>
      </c>
      <c r="K89" s="359"/>
      <c r="L89" s="362">
        <v>0</v>
      </c>
      <c r="M89" s="359"/>
      <c r="N89" s="362">
        <v>0</v>
      </c>
      <c r="O89" s="359"/>
      <c r="P89" s="362">
        <v>0</v>
      </c>
      <c r="Q89" s="359"/>
      <c r="R89" s="362">
        <v>0</v>
      </c>
      <c r="S89" s="363"/>
      <c r="T89" s="359">
        <v>5</v>
      </c>
      <c r="U89" s="362">
        <v>34000</v>
      </c>
      <c r="V89" s="359"/>
      <c r="W89" s="362">
        <v>0</v>
      </c>
      <c r="X89" s="359"/>
      <c r="Y89" s="362">
        <v>0</v>
      </c>
      <c r="Z89" s="359"/>
      <c r="AA89" s="362">
        <v>0</v>
      </c>
      <c r="AB89" s="359"/>
      <c r="AC89" s="362">
        <v>0</v>
      </c>
      <c r="AD89" s="359"/>
      <c r="AE89" s="362">
        <v>0</v>
      </c>
      <c r="AF89" s="363"/>
    </row>
    <row r="90" spans="1:32" ht="35.25" collapsed="1" x14ac:dyDescent="0.35">
      <c r="A90" s="364"/>
      <c r="B90" s="360" t="s">
        <v>387</v>
      </c>
      <c r="C90" s="365" t="s">
        <v>388</v>
      </c>
      <c r="D90" s="365"/>
      <c r="E90" s="365"/>
      <c r="F90" s="365"/>
      <c r="G90" s="359">
        <v>4</v>
      </c>
      <c r="H90" s="362">
        <v>23000</v>
      </c>
      <c r="I90" s="359"/>
      <c r="J90" s="362">
        <v>0</v>
      </c>
      <c r="K90" s="359"/>
      <c r="L90" s="362">
        <v>0</v>
      </c>
      <c r="M90" s="359"/>
      <c r="N90" s="362">
        <v>0</v>
      </c>
      <c r="O90" s="359"/>
      <c r="P90" s="362">
        <v>0</v>
      </c>
      <c r="Q90" s="359"/>
      <c r="R90" s="362">
        <v>0</v>
      </c>
      <c r="S90" s="363"/>
      <c r="T90" s="359">
        <v>4</v>
      </c>
      <c r="U90" s="362">
        <v>23000</v>
      </c>
      <c r="V90" s="359"/>
      <c r="W90" s="362">
        <v>0</v>
      </c>
      <c r="X90" s="359"/>
      <c r="Y90" s="362">
        <v>0</v>
      </c>
      <c r="Z90" s="359"/>
      <c r="AA90" s="362">
        <v>0</v>
      </c>
      <c r="AB90" s="359"/>
      <c r="AC90" s="362">
        <v>0</v>
      </c>
      <c r="AD90" s="359"/>
      <c r="AE90" s="362">
        <v>0</v>
      </c>
      <c r="AF90" s="363"/>
    </row>
    <row r="91" spans="1:32" ht="105.75" hidden="1" outlineLevel="1" collapsed="1" x14ac:dyDescent="0.35">
      <c r="A91" s="364"/>
      <c r="B91" s="360"/>
      <c r="C91" s="365"/>
      <c r="D91" s="360"/>
      <c r="E91" s="360" t="s">
        <v>509</v>
      </c>
      <c r="F91" s="365" t="s">
        <v>510</v>
      </c>
      <c r="G91" s="360">
        <v>3</v>
      </c>
      <c r="H91" s="366">
        <v>12000</v>
      </c>
      <c r="I91" s="360"/>
      <c r="J91" s="366">
        <v>0</v>
      </c>
      <c r="K91" s="360"/>
      <c r="L91" s="366">
        <v>0</v>
      </c>
      <c r="M91" s="360"/>
      <c r="N91" s="366">
        <v>0</v>
      </c>
      <c r="O91" s="360"/>
      <c r="P91" s="366">
        <v>0</v>
      </c>
      <c r="Q91" s="360"/>
      <c r="R91" s="366">
        <v>0</v>
      </c>
      <c r="S91" s="367" t="s">
        <v>588</v>
      </c>
      <c r="T91" s="360">
        <v>3</v>
      </c>
      <c r="U91" s="366">
        <v>12000</v>
      </c>
      <c r="V91" s="360"/>
      <c r="W91" s="366">
        <v>0</v>
      </c>
      <c r="X91" s="360"/>
      <c r="Y91" s="366">
        <v>0</v>
      </c>
      <c r="Z91" s="360"/>
      <c r="AA91" s="366">
        <v>0</v>
      </c>
      <c r="AB91" s="360"/>
      <c r="AC91" s="366">
        <v>0</v>
      </c>
      <c r="AD91" s="360"/>
      <c r="AE91" s="366">
        <v>0</v>
      </c>
      <c r="AF91" s="367" t="s">
        <v>589</v>
      </c>
    </row>
    <row r="92" spans="1:32" ht="105.75" hidden="1" outlineLevel="1" collapsed="1" x14ac:dyDescent="0.35">
      <c r="A92" s="364"/>
      <c r="B92" s="360"/>
      <c r="C92" s="365"/>
      <c r="D92" s="360"/>
      <c r="E92" s="360" t="s">
        <v>509</v>
      </c>
      <c r="F92" s="365" t="s">
        <v>510</v>
      </c>
      <c r="G92" s="360">
        <v>1</v>
      </c>
      <c r="H92" s="366">
        <v>11000</v>
      </c>
      <c r="I92" s="360"/>
      <c r="J92" s="366">
        <v>0</v>
      </c>
      <c r="K92" s="360"/>
      <c r="L92" s="366">
        <v>0</v>
      </c>
      <c r="M92" s="360"/>
      <c r="N92" s="366">
        <v>0</v>
      </c>
      <c r="O92" s="360"/>
      <c r="P92" s="366">
        <v>0</v>
      </c>
      <c r="Q92" s="360"/>
      <c r="R92" s="366">
        <v>0</v>
      </c>
      <c r="S92" s="367" t="s">
        <v>590</v>
      </c>
      <c r="T92" s="360">
        <v>1</v>
      </c>
      <c r="U92" s="366">
        <v>11000</v>
      </c>
      <c r="V92" s="360"/>
      <c r="W92" s="366">
        <v>0</v>
      </c>
      <c r="X92" s="360"/>
      <c r="Y92" s="366">
        <v>0</v>
      </c>
      <c r="Z92" s="360"/>
      <c r="AA92" s="366">
        <v>0</v>
      </c>
      <c r="AB92" s="360"/>
      <c r="AC92" s="366">
        <v>0</v>
      </c>
      <c r="AD92" s="360"/>
      <c r="AE92" s="366">
        <v>0</v>
      </c>
      <c r="AF92" s="367" t="s">
        <v>591</v>
      </c>
    </row>
    <row r="93" spans="1:32" ht="17.649999999999999" collapsed="1" x14ac:dyDescent="0.35">
      <c r="A93" s="364"/>
      <c r="B93" s="360" t="s">
        <v>393</v>
      </c>
      <c r="C93" s="365" t="s">
        <v>394</v>
      </c>
      <c r="D93" s="365"/>
      <c r="E93" s="365"/>
      <c r="F93" s="365"/>
      <c r="G93" s="359">
        <v>2</v>
      </c>
      <c r="H93" s="362">
        <v>22000</v>
      </c>
      <c r="I93" s="359"/>
      <c r="J93" s="362">
        <v>0</v>
      </c>
      <c r="K93" s="359"/>
      <c r="L93" s="362">
        <v>0</v>
      </c>
      <c r="M93" s="359"/>
      <c r="N93" s="362">
        <v>0</v>
      </c>
      <c r="O93" s="359"/>
      <c r="P93" s="362">
        <v>0</v>
      </c>
      <c r="Q93" s="359"/>
      <c r="R93" s="362">
        <v>0</v>
      </c>
      <c r="S93" s="363"/>
      <c r="T93" s="359">
        <v>1</v>
      </c>
      <c r="U93" s="362">
        <v>11000</v>
      </c>
      <c r="V93" s="359"/>
      <c r="W93" s="362">
        <v>0</v>
      </c>
      <c r="X93" s="359"/>
      <c r="Y93" s="362">
        <v>0</v>
      </c>
      <c r="Z93" s="359"/>
      <c r="AA93" s="362">
        <v>0</v>
      </c>
      <c r="AB93" s="359"/>
      <c r="AC93" s="362">
        <v>0</v>
      </c>
      <c r="AD93" s="359"/>
      <c r="AE93" s="362">
        <v>0</v>
      </c>
      <c r="AF93" s="363"/>
    </row>
    <row r="94" spans="1:32" ht="88.15" hidden="1" outlineLevel="1" collapsed="1" x14ac:dyDescent="0.35">
      <c r="A94" s="364"/>
      <c r="B94" s="360"/>
      <c r="C94" s="365"/>
      <c r="D94" s="360"/>
      <c r="E94" s="360" t="s">
        <v>509</v>
      </c>
      <c r="F94" s="365" t="s">
        <v>514</v>
      </c>
      <c r="G94" s="360">
        <v>2</v>
      </c>
      <c r="H94" s="366">
        <v>22000</v>
      </c>
      <c r="I94" s="360"/>
      <c r="J94" s="366">
        <v>0</v>
      </c>
      <c r="K94" s="360"/>
      <c r="L94" s="366">
        <v>0</v>
      </c>
      <c r="M94" s="360"/>
      <c r="N94" s="366">
        <v>0</v>
      </c>
      <c r="O94" s="360"/>
      <c r="P94" s="366">
        <v>0</v>
      </c>
      <c r="Q94" s="360"/>
      <c r="R94" s="366">
        <v>0</v>
      </c>
      <c r="S94" s="367" t="s">
        <v>592</v>
      </c>
      <c r="T94" s="360">
        <v>1</v>
      </c>
      <c r="U94" s="366">
        <v>11000</v>
      </c>
      <c r="V94" s="360"/>
      <c r="W94" s="366">
        <v>0</v>
      </c>
      <c r="X94" s="360"/>
      <c r="Y94" s="366">
        <v>0</v>
      </c>
      <c r="Z94" s="360"/>
      <c r="AA94" s="366">
        <v>0</v>
      </c>
      <c r="AB94" s="360"/>
      <c r="AC94" s="366">
        <v>0</v>
      </c>
      <c r="AD94" s="360"/>
      <c r="AE94" s="366">
        <v>0</v>
      </c>
      <c r="AF94" s="367" t="s">
        <v>593</v>
      </c>
    </row>
    <row r="95" spans="1:32" ht="17.649999999999999" x14ac:dyDescent="0.35">
      <c r="A95" s="359" t="s">
        <v>594</v>
      </c>
      <c r="B95" s="874" t="s">
        <v>595</v>
      </c>
      <c r="C95" s="875"/>
      <c r="D95" s="368"/>
      <c r="E95" s="368"/>
      <c r="F95" s="368"/>
      <c r="G95" s="359">
        <v>21</v>
      </c>
      <c r="H95" s="362">
        <v>678000</v>
      </c>
      <c r="I95" s="359"/>
      <c r="J95" s="362">
        <v>0</v>
      </c>
      <c r="K95" s="359"/>
      <c r="L95" s="362">
        <v>0</v>
      </c>
      <c r="M95" s="359"/>
      <c r="N95" s="362">
        <v>0</v>
      </c>
      <c r="O95" s="359"/>
      <c r="P95" s="362">
        <v>0</v>
      </c>
      <c r="Q95" s="359"/>
      <c r="R95" s="362">
        <v>0</v>
      </c>
      <c r="S95" s="363"/>
      <c r="T95" s="359">
        <v>21</v>
      </c>
      <c r="U95" s="362">
        <v>678000</v>
      </c>
      <c r="V95" s="359"/>
      <c r="W95" s="362">
        <v>0</v>
      </c>
      <c r="X95" s="359"/>
      <c r="Y95" s="362">
        <v>0</v>
      </c>
      <c r="Z95" s="359"/>
      <c r="AA95" s="362">
        <v>0</v>
      </c>
      <c r="AB95" s="359"/>
      <c r="AC95" s="362">
        <v>0</v>
      </c>
      <c r="AD95" s="359"/>
      <c r="AE95" s="362">
        <v>0</v>
      </c>
      <c r="AF95" s="363"/>
    </row>
    <row r="96" spans="1:32" ht="17.649999999999999" collapsed="1" x14ac:dyDescent="0.35">
      <c r="A96" s="364"/>
      <c r="B96" s="360" t="s">
        <v>382</v>
      </c>
      <c r="C96" s="365" t="s">
        <v>209</v>
      </c>
      <c r="D96" s="365"/>
      <c r="E96" s="365"/>
      <c r="F96" s="365"/>
      <c r="G96" s="359">
        <v>21</v>
      </c>
      <c r="H96" s="362">
        <v>678000</v>
      </c>
      <c r="I96" s="359"/>
      <c r="J96" s="362">
        <v>0</v>
      </c>
      <c r="K96" s="359"/>
      <c r="L96" s="362">
        <v>0</v>
      </c>
      <c r="M96" s="359"/>
      <c r="N96" s="362">
        <v>0</v>
      </c>
      <c r="O96" s="359"/>
      <c r="P96" s="362">
        <v>0</v>
      </c>
      <c r="Q96" s="359"/>
      <c r="R96" s="362">
        <v>0</v>
      </c>
      <c r="S96" s="363"/>
      <c r="T96" s="359">
        <v>21</v>
      </c>
      <c r="U96" s="362">
        <v>678000</v>
      </c>
      <c r="V96" s="359"/>
      <c r="W96" s="362">
        <v>0</v>
      </c>
      <c r="X96" s="359"/>
      <c r="Y96" s="362">
        <v>0</v>
      </c>
      <c r="Z96" s="359"/>
      <c r="AA96" s="362">
        <v>0</v>
      </c>
      <c r="AB96" s="359"/>
      <c r="AC96" s="362">
        <v>0</v>
      </c>
      <c r="AD96" s="359"/>
      <c r="AE96" s="362">
        <v>0</v>
      </c>
      <c r="AF96" s="363"/>
    </row>
    <row r="97" spans="1:32" ht="176.25" hidden="1" outlineLevel="1" collapsed="1" x14ac:dyDescent="0.35">
      <c r="A97" s="364"/>
      <c r="B97" s="360"/>
      <c r="C97" s="365"/>
      <c r="D97" s="360"/>
      <c r="E97" s="360" t="s">
        <v>509</v>
      </c>
      <c r="F97" s="365" t="s">
        <v>510</v>
      </c>
      <c r="G97" s="360">
        <v>21</v>
      </c>
      <c r="H97" s="366">
        <v>678000</v>
      </c>
      <c r="I97" s="360"/>
      <c r="J97" s="366">
        <v>0</v>
      </c>
      <c r="K97" s="360"/>
      <c r="L97" s="366">
        <v>0</v>
      </c>
      <c r="M97" s="360"/>
      <c r="N97" s="366">
        <v>0</v>
      </c>
      <c r="O97" s="360"/>
      <c r="P97" s="366">
        <v>0</v>
      </c>
      <c r="Q97" s="360"/>
      <c r="R97" s="366">
        <v>0</v>
      </c>
      <c r="S97" s="367" t="s">
        <v>596</v>
      </c>
      <c r="T97" s="360">
        <v>21</v>
      </c>
      <c r="U97" s="366">
        <v>678000</v>
      </c>
      <c r="V97" s="360"/>
      <c r="W97" s="366">
        <v>0</v>
      </c>
      <c r="X97" s="360"/>
      <c r="Y97" s="366">
        <v>0</v>
      </c>
      <c r="Z97" s="360"/>
      <c r="AA97" s="366">
        <v>0</v>
      </c>
      <c r="AB97" s="360"/>
      <c r="AC97" s="366">
        <v>0</v>
      </c>
      <c r="AD97" s="360"/>
      <c r="AE97" s="366">
        <v>0</v>
      </c>
      <c r="AF97" s="367" t="s">
        <v>597</v>
      </c>
    </row>
    <row r="98" spans="1:32" ht="17.649999999999999" x14ac:dyDescent="0.35">
      <c r="A98" s="359" t="s">
        <v>598</v>
      </c>
      <c r="B98" s="874" t="s">
        <v>599</v>
      </c>
      <c r="C98" s="875"/>
      <c r="D98" s="368"/>
      <c r="E98" s="368"/>
      <c r="F98" s="368"/>
      <c r="G98" s="359">
        <v>1</v>
      </c>
      <c r="H98" s="362">
        <v>120000</v>
      </c>
      <c r="I98" s="359"/>
      <c r="J98" s="362">
        <v>0</v>
      </c>
      <c r="K98" s="359"/>
      <c r="L98" s="362">
        <v>0</v>
      </c>
      <c r="M98" s="359"/>
      <c r="N98" s="362">
        <v>0</v>
      </c>
      <c r="O98" s="359"/>
      <c r="P98" s="362">
        <v>0</v>
      </c>
      <c r="Q98" s="359"/>
      <c r="R98" s="362">
        <v>0</v>
      </c>
      <c r="S98" s="363"/>
      <c r="T98" s="359">
        <v>1</v>
      </c>
      <c r="U98" s="362">
        <v>112000</v>
      </c>
      <c r="V98" s="359"/>
      <c r="W98" s="362">
        <v>0</v>
      </c>
      <c r="X98" s="359"/>
      <c r="Y98" s="362">
        <v>0</v>
      </c>
      <c r="Z98" s="359"/>
      <c r="AA98" s="362">
        <v>0</v>
      </c>
      <c r="AB98" s="359"/>
      <c r="AC98" s="362">
        <v>0</v>
      </c>
      <c r="AD98" s="359"/>
      <c r="AE98" s="362">
        <v>0</v>
      </c>
      <c r="AF98" s="363"/>
    </row>
    <row r="99" spans="1:32" ht="17.649999999999999" collapsed="1" x14ac:dyDescent="0.35">
      <c r="A99" s="364"/>
      <c r="B99" s="360" t="s">
        <v>398</v>
      </c>
      <c r="C99" s="365" t="s">
        <v>217</v>
      </c>
      <c r="D99" s="365"/>
      <c r="E99" s="365"/>
      <c r="F99" s="365"/>
      <c r="G99" s="359">
        <v>1</v>
      </c>
      <c r="H99" s="362">
        <v>120000</v>
      </c>
      <c r="I99" s="359"/>
      <c r="J99" s="362">
        <v>0</v>
      </c>
      <c r="K99" s="359"/>
      <c r="L99" s="362">
        <v>0</v>
      </c>
      <c r="M99" s="359"/>
      <c r="N99" s="362">
        <v>0</v>
      </c>
      <c r="O99" s="359"/>
      <c r="P99" s="362">
        <v>0</v>
      </c>
      <c r="Q99" s="359"/>
      <c r="R99" s="362">
        <v>0</v>
      </c>
      <c r="S99" s="363"/>
      <c r="T99" s="359">
        <v>1</v>
      </c>
      <c r="U99" s="362">
        <v>112000</v>
      </c>
      <c r="V99" s="359"/>
      <c r="W99" s="362">
        <v>0</v>
      </c>
      <c r="X99" s="359"/>
      <c r="Y99" s="362">
        <v>0</v>
      </c>
      <c r="Z99" s="359"/>
      <c r="AA99" s="362">
        <v>0</v>
      </c>
      <c r="AB99" s="359"/>
      <c r="AC99" s="362">
        <v>0</v>
      </c>
      <c r="AD99" s="359"/>
      <c r="AE99" s="362">
        <v>0</v>
      </c>
      <c r="AF99" s="363"/>
    </row>
    <row r="100" spans="1:32" ht="52.9" hidden="1" outlineLevel="1" collapsed="1" x14ac:dyDescent="0.35">
      <c r="A100" s="364"/>
      <c r="B100" s="360"/>
      <c r="C100" s="365"/>
      <c r="D100" s="360"/>
      <c r="E100" s="360" t="s">
        <v>509</v>
      </c>
      <c r="F100" s="365" t="s">
        <v>510</v>
      </c>
      <c r="G100" s="360">
        <v>1</v>
      </c>
      <c r="H100" s="366">
        <v>120000</v>
      </c>
      <c r="I100" s="360"/>
      <c r="J100" s="366">
        <v>0</v>
      </c>
      <c r="K100" s="360"/>
      <c r="L100" s="366">
        <v>0</v>
      </c>
      <c r="M100" s="360"/>
      <c r="N100" s="366">
        <v>0</v>
      </c>
      <c r="O100" s="360"/>
      <c r="P100" s="366">
        <v>0</v>
      </c>
      <c r="Q100" s="360"/>
      <c r="R100" s="366">
        <v>0</v>
      </c>
      <c r="S100" s="367" t="s">
        <v>600</v>
      </c>
      <c r="T100" s="360">
        <v>1</v>
      </c>
      <c r="U100" s="366">
        <v>112000</v>
      </c>
      <c r="V100" s="360"/>
      <c r="W100" s="366">
        <v>0</v>
      </c>
      <c r="X100" s="360"/>
      <c r="Y100" s="366">
        <v>0</v>
      </c>
      <c r="Z100" s="360"/>
      <c r="AA100" s="366">
        <v>0</v>
      </c>
      <c r="AB100" s="360"/>
      <c r="AC100" s="366">
        <v>0</v>
      </c>
      <c r="AD100" s="360"/>
      <c r="AE100" s="366">
        <v>0</v>
      </c>
      <c r="AF100" s="367" t="s">
        <v>601</v>
      </c>
    </row>
    <row r="101" spans="1:32" ht="17.649999999999999" x14ac:dyDescent="0.35">
      <c r="A101" s="359" t="s">
        <v>602</v>
      </c>
      <c r="B101" s="874" t="s">
        <v>603</v>
      </c>
      <c r="C101" s="875"/>
      <c r="D101" s="368"/>
      <c r="E101" s="368"/>
      <c r="F101" s="368"/>
      <c r="G101" s="359">
        <v>29</v>
      </c>
      <c r="H101" s="362">
        <v>29370742</v>
      </c>
      <c r="I101" s="359"/>
      <c r="J101" s="362">
        <v>0</v>
      </c>
      <c r="K101" s="359"/>
      <c r="L101" s="362">
        <v>0</v>
      </c>
      <c r="M101" s="359"/>
      <c r="N101" s="362">
        <v>0</v>
      </c>
      <c r="O101" s="359"/>
      <c r="P101" s="362">
        <v>0</v>
      </c>
      <c r="Q101" s="359"/>
      <c r="R101" s="362">
        <v>0</v>
      </c>
      <c r="S101" s="363"/>
      <c r="T101" s="359">
        <v>27</v>
      </c>
      <c r="U101" s="362">
        <v>28763600</v>
      </c>
      <c r="V101" s="359"/>
      <c r="W101" s="362">
        <v>0</v>
      </c>
      <c r="X101" s="359"/>
      <c r="Y101" s="362">
        <v>0</v>
      </c>
      <c r="Z101" s="359"/>
      <c r="AA101" s="362">
        <v>0</v>
      </c>
      <c r="AB101" s="359"/>
      <c r="AC101" s="362">
        <v>0</v>
      </c>
      <c r="AD101" s="359"/>
      <c r="AE101" s="362">
        <v>0</v>
      </c>
      <c r="AF101" s="363"/>
    </row>
    <row r="102" spans="1:32" ht="35.25" collapsed="1" x14ac:dyDescent="0.35">
      <c r="A102" s="364"/>
      <c r="B102" s="360" t="s">
        <v>402</v>
      </c>
      <c r="C102" s="365" t="s">
        <v>604</v>
      </c>
      <c r="D102" s="365"/>
      <c r="E102" s="365"/>
      <c r="F102" s="365"/>
      <c r="G102" s="359">
        <v>1</v>
      </c>
      <c r="H102" s="362">
        <v>310000</v>
      </c>
      <c r="I102" s="359"/>
      <c r="J102" s="362">
        <v>0</v>
      </c>
      <c r="K102" s="359"/>
      <c r="L102" s="362">
        <v>0</v>
      </c>
      <c r="M102" s="359"/>
      <c r="N102" s="362">
        <v>0</v>
      </c>
      <c r="O102" s="359"/>
      <c r="P102" s="362">
        <v>0</v>
      </c>
      <c r="Q102" s="359"/>
      <c r="R102" s="362">
        <v>0</v>
      </c>
      <c r="S102" s="363"/>
      <c r="T102" s="359">
        <v>1</v>
      </c>
      <c r="U102" s="362">
        <v>310000</v>
      </c>
      <c r="V102" s="359"/>
      <c r="W102" s="362">
        <v>0</v>
      </c>
      <c r="X102" s="359"/>
      <c r="Y102" s="362">
        <v>0</v>
      </c>
      <c r="Z102" s="359"/>
      <c r="AA102" s="362">
        <v>0</v>
      </c>
      <c r="AB102" s="359"/>
      <c r="AC102" s="362">
        <v>0</v>
      </c>
      <c r="AD102" s="359"/>
      <c r="AE102" s="362">
        <v>0</v>
      </c>
      <c r="AF102" s="363"/>
    </row>
    <row r="103" spans="1:32" ht="105.75" hidden="1" outlineLevel="1" collapsed="1" x14ac:dyDescent="0.35">
      <c r="A103" s="364"/>
      <c r="B103" s="360"/>
      <c r="C103" s="365"/>
      <c r="D103" s="360"/>
      <c r="E103" s="360" t="s">
        <v>509</v>
      </c>
      <c r="F103" s="365" t="s">
        <v>510</v>
      </c>
      <c r="G103" s="360">
        <v>1</v>
      </c>
      <c r="H103" s="366">
        <v>310000</v>
      </c>
      <c r="I103" s="360"/>
      <c r="J103" s="366">
        <v>0</v>
      </c>
      <c r="K103" s="360"/>
      <c r="L103" s="366">
        <v>0</v>
      </c>
      <c r="M103" s="360"/>
      <c r="N103" s="366">
        <v>0</v>
      </c>
      <c r="O103" s="360"/>
      <c r="P103" s="366">
        <v>0</v>
      </c>
      <c r="Q103" s="360"/>
      <c r="R103" s="366">
        <v>0</v>
      </c>
      <c r="S103" s="367" t="s">
        <v>605</v>
      </c>
      <c r="T103" s="360">
        <v>1</v>
      </c>
      <c r="U103" s="366">
        <v>310000</v>
      </c>
      <c r="V103" s="360"/>
      <c r="W103" s="366">
        <v>0</v>
      </c>
      <c r="X103" s="360"/>
      <c r="Y103" s="366">
        <v>0</v>
      </c>
      <c r="Z103" s="360"/>
      <c r="AA103" s="366">
        <v>0</v>
      </c>
      <c r="AB103" s="360"/>
      <c r="AC103" s="366">
        <v>0</v>
      </c>
      <c r="AD103" s="360"/>
      <c r="AE103" s="366">
        <v>0</v>
      </c>
      <c r="AF103" s="367" t="s">
        <v>606</v>
      </c>
    </row>
    <row r="104" spans="1:32" ht="35.25" collapsed="1" x14ac:dyDescent="0.35">
      <c r="A104" s="364"/>
      <c r="B104" s="360" t="s">
        <v>479</v>
      </c>
      <c r="C104" s="365" t="s">
        <v>607</v>
      </c>
      <c r="D104" s="365"/>
      <c r="E104" s="365"/>
      <c r="F104" s="365"/>
      <c r="G104" s="359">
        <v>2</v>
      </c>
      <c r="H104" s="362">
        <v>30000</v>
      </c>
      <c r="I104" s="359"/>
      <c r="J104" s="362">
        <v>0</v>
      </c>
      <c r="K104" s="359"/>
      <c r="L104" s="362">
        <v>0</v>
      </c>
      <c r="M104" s="359"/>
      <c r="N104" s="362">
        <v>0</v>
      </c>
      <c r="O104" s="359"/>
      <c r="P104" s="362">
        <v>0</v>
      </c>
      <c r="Q104" s="359"/>
      <c r="R104" s="362">
        <v>0</v>
      </c>
      <c r="S104" s="363"/>
      <c r="T104" s="359"/>
      <c r="U104" s="362">
        <v>0</v>
      </c>
      <c r="V104" s="359"/>
      <c r="W104" s="362">
        <v>0</v>
      </c>
      <c r="X104" s="359"/>
      <c r="Y104" s="362">
        <v>0</v>
      </c>
      <c r="Z104" s="359"/>
      <c r="AA104" s="362">
        <v>0</v>
      </c>
      <c r="AB104" s="359"/>
      <c r="AC104" s="362">
        <v>0</v>
      </c>
      <c r="AD104" s="359"/>
      <c r="AE104" s="362">
        <v>0</v>
      </c>
      <c r="AF104" s="363"/>
    </row>
    <row r="105" spans="1:32" ht="70.5" hidden="1" outlineLevel="1" collapsed="1" x14ac:dyDescent="0.35">
      <c r="A105" s="364"/>
      <c r="B105" s="360"/>
      <c r="C105" s="365"/>
      <c r="D105" s="360"/>
      <c r="E105" s="360" t="s">
        <v>509</v>
      </c>
      <c r="F105" s="365" t="s">
        <v>510</v>
      </c>
      <c r="G105" s="360">
        <v>2</v>
      </c>
      <c r="H105" s="366">
        <v>30000</v>
      </c>
      <c r="I105" s="360"/>
      <c r="J105" s="366">
        <v>0</v>
      </c>
      <c r="K105" s="360"/>
      <c r="L105" s="366">
        <v>0</v>
      </c>
      <c r="M105" s="360"/>
      <c r="N105" s="366">
        <v>0</v>
      </c>
      <c r="O105" s="360"/>
      <c r="P105" s="366">
        <v>0</v>
      </c>
      <c r="Q105" s="360"/>
      <c r="R105" s="366">
        <v>0</v>
      </c>
      <c r="S105" s="367" t="s">
        <v>608</v>
      </c>
      <c r="T105" s="360"/>
      <c r="U105" s="366">
        <v>0</v>
      </c>
      <c r="V105" s="360"/>
      <c r="W105" s="366">
        <v>0</v>
      </c>
      <c r="X105" s="360"/>
      <c r="Y105" s="366">
        <v>0</v>
      </c>
      <c r="Z105" s="360"/>
      <c r="AA105" s="366">
        <v>0</v>
      </c>
      <c r="AB105" s="360"/>
      <c r="AC105" s="366">
        <v>0</v>
      </c>
      <c r="AD105" s="360"/>
      <c r="AE105" s="366">
        <v>0</v>
      </c>
      <c r="AF105" s="367" t="s">
        <v>609</v>
      </c>
    </row>
    <row r="106" spans="1:32" ht="17.649999999999999" collapsed="1" x14ac:dyDescent="0.35">
      <c r="A106" s="364"/>
      <c r="B106" s="360" t="s">
        <v>421</v>
      </c>
      <c r="C106" s="365" t="s">
        <v>169</v>
      </c>
      <c r="D106" s="365"/>
      <c r="E106" s="365"/>
      <c r="F106" s="365"/>
      <c r="G106" s="359"/>
      <c r="H106" s="362">
        <v>0</v>
      </c>
      <c r="I106" s="359"/>
      <c r="J106" s="362">
        <v>0</v>
      </c>
      <c r="K106" s="359"/>
      <c r="L106" s="362">
        <v>0</v>
      </c>
      <c r="M106" s="359"/>
      <c r="N106" s="362">
        <v>0</v>
      </c>
      <c r="O106" s="359"/>
      <c r="P106" s="362">
        <v>0</v>
      </c>
      <c r="Q106" s="359"/>
      <c r="R106" s="362">
        <v>0</v>
      </c>
      <c r="S106" s="363"/>
      <c r="T106" s="359">
        <v>1</v>
      </c>
      <c r="U106" s="362">
        <v>1765500</v>
      </c>
      <c r="V106" s="359"/>
      <c r="W106" s="362">
        <v>0</v>
      </c>
      <c r="X106" s="359"/>
      <c r="Y106" s="362">
        <v>0</v>
      </c>
      <c r="Z106" s="359"/>
      <c r="AA106" s="362">
        <v>0</v>
      </c>
      <c r="AB106" s="359"/>
      <c r="AC106" s="362">
        <v>0</v>
      </c>
      <c r="AD106" s="359"/>
      <c r="AE106" s="362">
        <v>0</v>
      </c>
      <c r="AF106" s="363"/>
    </row>
    <row r="107" spans="1:32" ht="52.9" hidden="1" outlineLevel="1" collapsed="1" x14ac:dyDescent="0.35">
      <c r="A107" s="364"/>
      <c r="B107" s="360"/>
      <c r="C107" s="365"/>
      <c r="D107" s="360"/>
      <c r="E107" s="360" t="s">
        <v>509</v>
      </c>
      <c r="F107" s="365" t="s">
        <v>514</v>
      </c>
      <c r="G107" s="360"/>
      <c r="H107" s="366">
        <v>0</v>
      </c>
      <c r="I107" s="360"/>
      <c r="J107" s="366">
        <v>0</v>
      </c>
      <c r="K107" s="360"/>
      <c r="L107" s="366">
        <v>0</v>
      </c>
      <c r="M107" s="360"/>
      <c r="N107" s="366">
        <v>0</v>
      </c>
      <c r="O107" s="360"/>
      <c r="P107" s="366">
        <v>0</v>
      </c>
      <c r="Q107" s="360"/>
      <c r="R107" s="366">
        <v>0</v>
      </c>
      <c r="S107" s="367"/>
      <c r="T107" s="360">
        <v>1</v>
      </c>
      <c r="U107" s="366">
        <v>1765500</v>
      </c>
      <c r="V107" s="360"/>
      <c r="W107" s="366">
        <v>0</v>
      </c>
      <c r="X107" s="360"/>
      <c r="Y107" s="366">
        <v>0</v>
      </c>
      <c r="Z107" s="360"/>
      <c r="AA107" s="366">
        <v>0</v>
      </c>
      <c r="AB107" s="360"/>
      <c r="AC107" s="366">
        <v>0</v>
      </c>
      <c r="AD107" s="360"/>
      <c r="AE107" s="366">
        <v>0</v>
      </c>
      <c r="AF107" s="367" t="s">
        <v>610</v>
      </c>
    </row>
    <row r="108" spans="1:32" ht="35.25" collapsed="1" x14ac:dyDescent="0.35">
      <c r="A108" s="364"/>
      <c r="B108" s="360" t="s">
        <v>472</v>
      </c>
      <c r="C108" s="365" t="s">
        <v>225</v>
      </c>
      <c r="D108" s="365"/>
      <c r="E108" s="365"/>
      <c r="F108" s="365"/>
      <c r="G108" s="359">
        <v>1</v>
      </c>
      <c r="H108" s="362">
        <v>13369115</v>
      </c>
      <c r="I108" s="359"/>
      <c r="J108" s="362">
        <v>0</v>
      </c>
      <c r="K108" s="359"/>
      <c r="L108" s="362">
        <v>0</v>
      </c>
      <c r="M108" s="359"/>
      <c r="N108" s="362">
        <v>0</v>
      </c>
      <c r="O108" s="359"/>
      <c r="P108" s="362">
        <v>0</v>
      </c>
      <c r="Q108" s="359"/>
      <c r="R108" s="362">
        <v>0</v>
      </c>
      <c r="S108" s="363"/>
      <c r="T108" s="359"/>
      <c r="U108" s="362">
        <v>0</v>
      </c>
      <c r="V108" s="359"/>
      <c r="W108" s="362">
        <v>0</v>
      </c>
      <c r="X108" s="359"/>
      <c r="Y108" s="362">
        <v>0</v>
      </c>
      <c r="Z108" s="359"/>
      <c r="AA108" s="362">
        <v>0</v>
      </c>
      <c r="AB108" s="359"/>
      <c r="AC108" s="362">
        <v>0</v>
      </c>
      <c r="AD108" s="359"/>
      <c r="AE108" s="362">
        <v>0</v>
      </c>
      <c r="AF108" s="363"/>
    </row>
    <row r="109" spans="1:32" ht="105.75" hidden="1" outlineLevel="1" collapsed="1" x14ac:dyDescent="0.35">
      <c r="A109" s="364"/>
      <c r="B109" s="360"/>
      <c r="C109" s="365"/>
      <c r="D109" s="360"/>
      <c r="E109" s="360" t="s">
        <v>509</v>
      </c>
      <c r="F109" s="365" t="s">
        <v>510</v>
      </c>
      <c r="G109" s="360">
        <v>1</v>
      </c>
      <c r="H109" s="366">
        <v>13369115</v>
      </c>
      <c r="I109" s="360"/>
      <c r="J109" s="366">
        <v>0</v>
      </c>
      <c r="K109" s="360"/>
      <c r="L109" s="366">
        <v>0</v>
      </c>
      <c r="M109" s="360"/>
      <c r="N109" s="366">
        <v>0</v>
      </c>
      <c r="O109" s="360"/>
      <c r="P109" s="366">
        <v>0</v>
      </c>
      <c r="Q109" s="360"/>
      <c r="R109" s="366">
        <v>0</v>
      </c>
      <c r="S109" s="367" t="s">
        <v>611</v>
      </c>
      <c r="T109" s="360"/>
      <c r="U109" s="366">
        <v>0</v>
      </c>
      <c r="V109" s="360"/>
      <c r="W109" s="366">
        <v>0</v>
      </c>
      <c r="X109" s="360"/>
      <c r="Y109" s="366">
        <v>0</v>
      </c>
      <c r="Z109" s="360"/>
      <c r="AA109" s="366">
        <v>0</v>
      </c>
      <c r="AB109" s="360"/>
      <c r="AC109" s="366">
        <v>0</v>
      </c>
      <c r="AD109" s="360"/>
      <c r="AE109" s="366">
        <v>0</v>
      </c>
      <c r="AF109" s="367" t="s">
        <v>612</v>
      </c>
    </row>
    <row r="110" spans="1:32" ht="35.25" collapsed="1" x14ac:dyDescent="0.35">
      <c r="A110" s="364"/>
      <c r="B110" s="360" t="s">
        <v>416</v>
      </c>
      <c r="C110" s="365" t="s">
        <v>613</v>
      </c>
      <c r="D110" s="365"/>
      <c r="E110" s="365"/>
      <c r="F110" s="365"/>
      <c r="G110" s="359">
        <v>8</v>
      </c>
      <c r="H110" s="362">
        <v>1753730</v>
      </c>
      <c r="I110" s="359"/>
      <c r="J110" s="362">
        <v>0</v>
      </c>
      <c r="K110" s="359"/>
      <c r="L110" s="362">
        <v>0</v>
      </c>
      <c r="M110" s="359"/>
      <c r="N110" s="362">
        <v>0</v>
      </c>
      <c r="O110" s="359"/>
      <c r="P110" s="362">
        <v>0</v>
      </c>
      <c r="Q110" s="359"/>
      <c r="R110" s="362">
        <v>0</v>
      </c>
      <c r="S110" s="363"/>
      <c r="T110" s="359">
        <v>8</v>
      </c>
      <c r="U110" s="362">
        <v>1753800</v>
      </c>
      <c r="V110" s="359"/>
      <c r="W110" s="362">
        <v>0</v>
      </c>
      <c r="X110" s="359"/>
      <c r="Y110" s="362">
        <v>0</v>
      </c>
      <c r="Z110" s="359"/>
      <c r="AA110" s="362">
        <v>0</v>
      </c>
      <c r="AB110" s="359"/>
      <c r="AC110" s="362">
        <v>0</v>
      </c>
      <c r="AD110" s="359"/>
      <c r="AE110" s="362">
        <v>0</v>
      </c>
      <c r="AF110" s="363"/>
    </row>
    <row r="111" spans="1:32" ht="88.15" hidden="1" outlineLevel="1" collapsed="1" x14ac:dyDescent="0.35">
      <c r="A111" s="364"/>
      <c r="B111" s="360"/>
      <c r="C111" s="365"/>
      <c r="D111" s="360"/>
      <c r="E111" s="360" t="s">
        <v>509</v>
      </c>
      <c r="F111" s="365" t="s">
        <v>510</v>
      </c>
      <c r="G111" s="360">
        <v>8</v>
      </c>
      <c r="H111" s="366">
        <v>1753730</v>
      </c>
      <c r="I111" s="360"/>
      <c r="J111" s="366">
        <v>0</v>
      </c>
      <c r="K111" s="360"/>
      <c r="L111" s="366">
        <v>0</v>
      </c>
      <c r="M111" s="360"/>
      <c r="N111" s="366">
        <v>0</v>
      </c>
      <c r="O111" s="360"/>
      <c r="P111" s="366">
        <v>0</v>
      </c>
      <c r="Q111" s="360"/>
      <c r="R111" s="366">
        <v>0</v>
      </c>
      <c r="S111" s="367" t="s">
        <v>614</v>
      </c>
      <c r="T111" s="360">
        <v>8</v>
      </c>
      <c r="U111" s="366">
        <v>1753800</v>
      </c>
      <c r="V111" s="360"/>
      <c r="W111" s="366">
        <v>0</v>
      </c>
      <c r="X111" s="360"/>
      <c r="Y111" s="366">
        <v>0</v>
      </c>
      <c r="Z111" s="360"/>
      <c r="AA111" s="366">
        <v>0</v>
      </c>
      <c r="AB111" s="360"/>
      <c r="AC111" s="366">
        <v>0</v>
      </c>
      <c r="AD111" s="360"/>
      <c r="AE111" s="366">
        <v>0</v>
      </c>
      <c r="AF111" s="367" t="s">
        <v>615</v>
      </c>
    </row>
    <row r="112" spans="1:32" ht="35.25" collapsed="1" x14ac:dyDescent="0.35">
      <c r="A112" s="364"/>
      <c r="B112" s="360" t="s">
        <v>408</v>
      </c>
      <c r="C112" s="365" t="s">
        <v>409</v>
      </c>
      <c r="D112" s="365"/>
      <c r="E112" s="365"/>
      <c r="F112" s="365"/>
      <c r="G112" s="359">
        <v>10</v>
      </c>
      <c r="H112" s="362">
        <v>1765500</v>
      </c>
      <c r="I112" s="359"/>
      <c r="J112" s="362">
        <v>0</v>
      </c>
      <c r="K112" s="359"/>
      <c r="L112" s="362">
        <v>0</v>
      </c>
      <c r="M112" s="359"/>
      <c r="N112" s="362">
        <v>0</v>
      </c>
      <c r="O112" s="359"/>
      <c r="P112" s="362">
        <v>0</v>
      </c>
      <c r="Q112" s="359"/>
      <c r="R112" s="362">
        <v>0</v>
      </c>
      <c r="S112" s="363"/>
      <c r="T112" s="359">
        <v>10</v>
      </c>
      <c r="U112" s="362">
        <v>1765500</v>
      </c>
      <c r="V112" s="359"/>
      <c r="W112" s="362">
        <v>0</v>
      </c>
      <c r="X112" s="359"/>
      <c r="Y112" s="362">
        <v>0</v>
      </c>
      <c r="Z112" s="359"/>
      <c r="AA112" s="362">
        <v>0</v>
      </c>
      <c r="AB112" s="359"/>
      <c r="AC112" s="362">
        <v>0</v>
      </c>
      <c r="AD112" s="359"/>
      <c r="AE112" s="362">
        <v>0</v>
      </c>
      <c r="AF112" s="363"/>
    </row>
    <row r="113" spans="1:32" ht="123.4" hidden="1" outlineLevel="1" collapsed="1" x14ac:dyDescent="0.35">
      <c r="A113" s="364"/>
      <c r="B113" s="360"/>
      <c r="C113" s="365"/>
      <c r="D113" s="360"/>
      <c r="E113" s="360" t="s">
        <v>509</v>
      </c>
      <c r="F113" s="365" t="s">
        <v>510</v>
      </c>
      <c r="G113" s="360">
        <v>10</v>
      </c>
      <c r="H113" s="366">
        <v>1765500</v>
      </c>
      <c r="I113" s="360"/>
      <c r="J113" s="366">
        <v>0</v>
      </c>
      <c r="K113" s="360"/>
      <c r="L113" s="366">
        <v>0</v>
      </c>
      <c r="M113" s="360"/>
      <c r="N113" s="366">
        <v>0</v>
      </c>
      <c r="O113" s="360"/>
      <c r="P113" s="366">
        <v>0</v>
      </c>
      <c r="Q113" s="360"/>
      <c r="R113" s="366">
        <v>0</v>
      </c>
      <c r="S113" s="367" t="s">
        <v>616</v>
      </c>
      <c r="T113" s="360">
        <v>10</v>
      </c>
      <c r="U113" s="366">
        <v>1765500</v>
      </c>
      <c r="V113" s="360"/>
      <c r="W113" s="366">
        <v>0</v>
      </c>
      <c r="X113" s="360"/>
      <c r="Y113" s="366">
        <v>0</v>
      </c>
      <c r="Z113" s="360"/>
      <c r="AA113" s="366">
        <v>0</v>
      </c>
      <c r="AB113" s="360"/>
      <c r="AC113" s="366">
        <v>0</v>
      </c>
      <c r="AD113" s="360"/>
      <c r="AE113" s="366">
        <v>0</v>
      </c>
      <c r="AF113" s="367" t="s">
        <v>617</v>
      </c>
    </row>
    <row r="114" spans="1:32" ht="17.649999999999999" collapsed="1" x14ac:dyDescent="0.35">
      <c r="A114" s="364"/>
      <c r="B114" s="360" t="s">
        <v>405</v>
      </c>
      <c r="C114" s="365" t="s">
        <v>406</v>
      </c>
      <c r="D114" s="365"/>
      <c r="E114" s="365"/>
      <c r="F114" s="365"/>
      <c r="G114" s="359">
        <v>7</v>
      </c>
      <c r="H114" s="362">
        <v>56000</v>
      </c>
      <c r="I114" s="359"/>
      <c r="J114" s="362">
        <v>0</v>
      </c>
      <c r="K114" s="359"/>
      <c r="L114" s="362">
        <v>0</v>
      </c>
      <c r="M114" s="359"/>
      <c r="N114" s="362">
        <v>0</v>
      </c>
      <c r="O114" s="359"/>
      <c r="P114" s="362">
        <v>0</v>
      </c>
      <c r="Q114" s="359"/>
      <c r="R114" s="362">
        <v>0</v>
      </c>
      <c r="S114" s="363"/>
      <c r="T114" s="359">
        <v>7</v>
      </c>
      <c r="U114" s="362">
        <v>56000</v>
      </c>
      <c r="V114" s="359"/>
      <c r="W114" s="362">
        <v>0</v>
      </c>
      <c r="X114" s="359"/>
      <c r="Y114" s="362">
        <v>0</v>
      </c>
      <c r="Z114" s="359"/>
      <c r="AA114" s="362">
        <v>0</v>
      </c>
      <c r="AB114" s="359"/>
      <c r="AC114" s="362">
        <v>0</v>
      </c>
      <c r="AD114" s="359"/>
      <c r="AE114" s="362">
        <v>0</v>
      </c>
      <c r="AF114" s="363"/>
    </row>
    <row r="115" spans="1:32" ht="105.75" hidden="1" outlineLevel="1" collapsed="1" x14ac:dyDescent="0.35">
      <c r="A115" s="364"/>
      <c r="B115" s="360"/>
      <c r="C115" s="365"/>
      <c r="D115" s="360"/>
      <c r="E115" s="360" t="s">
        <v>509</v>
      </c>
      <c r="F115" s="365" t="s">
        <v>510</v>
      </c>
      <c r="G115" s="360">
        <v>7</v>
      </c>
      <c r="H115" s="366">
        <v>56000</v>
      </c>
      <c r="I115" s="360"/>
      <c r="J115" s="366">
        <v>0</v>
      </c>
      <c r="K115" s="360"/>
      <c r="L115" s="366">
        <v>0</v>
      </c>
      <c r="M115" s="360"/>
      <c r="N115" s="366">
        <v>0</v>
      </c>
      <c r="O115" s="360"/>
      <c r="P115" s="366">
        <v>0</v>
      </c>
      <c r="Q115" s="360"/>
      <c r="R115" s="366">
        <v>0</v>
      </c>
      <c r="S115" s="367" t="s">
        <v>618</v>
      </c>
      <c r="T115" s="360">
        <v>7</v>
      </c>
      <c r="U115" s="366">
        <v>56000</v>
      </c>
      <c r="V115" s="360"/>
      <c r="W115" s="366">
        <v>0</v>
      </c>
      <c r="X115" s="360"/>
      <c r="Y115" s="366">
        <v>0</v>
      </c>
      <c r="Z115" s="360"/>
      <c r="AA115" s="366">
        <v>0</v>
      </c>
      <c r="AB115" s="360"/>
      <c r="AC115" s="366">
        <v>0</v>
      </c>
      <c r="AD115" s="360"/>
      <c r="AE115" s="366">
        <v>0</v>
      </c>
      <c r="AF115" s="367" t="s">
        <v>619</v>
      </c>
    </row>
    <row r="116" spans="1:32" ht="52.9" collapsed="1" x14ac:dyDescent="0.35">
      <c r="A116" s="364"/>
      <c r="B116" s="360" t="s">
        <v>424</v>
      </c>
      <c r="C116" s="365" t="s">
        <v>425</v>
      </c>
      <c r="D116" s="365"/>
      <c r="E116" s="365"/>
      <c r="F116" s="365"/>
      <c r="G116" s="359"/>
      <c r="H116" s="362">
        <v>0</v>
      </c>
      <c r="I116" s="359"/>
      <c r="J116" s="362">
        <v>0</v>
      </c>
      <c r="K116" s="359"/>
      <c r="L116" s="362">
        <v>0</v>
      </c>
      <c r="M116" s="359"/>
      <c r="N116" s="362">
        <v>0</v>
      </c>
      <c r="O116" s="359"/>
      <c r="P116" s="362">
        <v>0</v>
      </c>
      <c r="Q116" s="359"/>
      <c r="R116" s="362">
        <v>0</v>
      </c>
      <c r="S116" s="363"/>
      <c r="T116" s="359"/>
      <c r="U116" s="362">
        <v>4651200</v>
      </c>
      <c r="V116" s="359"/>
      <c r="W116" s="362">
        <v>0</v>
      </c>
      <c r="X116" s="359"/>
      <c r="Y116" s="362">
        <v>0</v>
      </c>
      <c r="Z116" s="359"/>
      <c r="AA116" s="362">
        <v>0</v>
      </c>
      <c r="AB116" s="359"/>
      <c r="AC116" s="362">
        <v>0</v>
      </c>
      <c r="AD116" s="359"/>
      <c r="AE116" s="362">
        <v>0</v>
      </c>
      <c r="AF116" s="363"/>
    </row>
    <row r="117" spans="1:32" ht="70.5" hidden="1" outlineLevel="1" collapsed="1" x14ac:dyDescent="0.35">
      <c r="A117" s="364"/>
      <c r="B117" s="360"/>
      <c r="C117" s="365"/>
      <c r="D117" s="360"/>
      <c r="E117" s="360" t="s">
        <v>509</v>
      </c>
      <c r="F117" s="365" t="s">
        <v>514</v>
      </c>
      <c r="G117" s="360"/>
      <c r="H117" s="366">
        <v>0</v>
      </c>
      <c r="I117" s="360"/>
      <c r="J117" s="366">
        <v>0</v>
      </c>
      <c r="K117" s="360"/>
      <c r="L117" s="366">
        <v>0</v>
      </c>
      <c r="M117" s="360"/>
      <c r="N117" s="366">
        <v>0</v>
      </c>
      <c r="O117" s="360"/>
      <c r="P117" s="366">
        <v>0</v>
      </c>
      <c r="Q117" s="360"/>
      <c r="R117" s="366">
        <v>0</v>
      </c>
      <c r="S117" s="367"/>
      <c r="T117" s="360"/>
      <c r="U117" s="366">
        <v>4651200</v>
      </c>
      <c r="V117" s="360"/>
      <c r="W117" s="366">
        <v>0</v>
      </c>
      <c r="X117" s="360"/>
      <c r="Y117" s="366">
        <v>0</v>
      </c>
      <c r="Z117" s="360"/>
      <c r="AA117" s="366">
        <v>0</v>
      </c>
      <c r="AB117" s="360"/>
      <c r="AC117" s="366">
        <v>0</v>
      </c>
      <c r="AD117" s="360"/>
      <c r="AE117" s="366">
        <v>0</v>
      </c>
      <c r="AF117" s="367" t="s">
        <v>620</v>
      </c>
    </row>
    <row r="118" spans="1:32" ht="52.9" collapsed="1" x14ac:dyDescent="0.35">
      <c r="A118" s="364"/>
      <c r="B118" s="360" t="s">
        <v>427</v>
      </c>
      <c r="C118" s="365" t="s">
        <v>428</v>
      </c>
      <c r="D118" s="365"/>
      <c r="E118" s="365"/>
      <c r="F118" s="365"/>
      <c r="G118" s="359"/>
      <c r="H118" s="362">
        <v>0</v>
      </c>
      <c r="I118" s="359"/>
      <c r="J118" s="362">
        <v>0</v>
      </c>
      <c r="K118" s="359"/>
      <c r="L118" s="362">
        <v>0</v>
      </c>
      <c r="M118" s="359"/>
      <c r="N118" s="362">
        <v>0</v>
      </c>
      <c r="O118" s="359"/>
      <c r="P118" s="362">
        <v>0</v>
      </c>
      <c r="Q118" s="359"/>
      <c r="R118" s="362">
        <v>0</v>
      </c>
      <c r="S118" s="363"/>
      <c r="T118" s="359"/>
      <c r="U118" s="362">
        <v>1190000</v>
      </c>
      <c r="V118" s="359"/>
      <c r="W118" s="362">
        <v>0</v>
      </c>
      <c r="X118" s="359"/>
      <c r="Y118" s="362">
        <v>0</v>
      </c>
      <c r="Z118" s="359"/>
      <c r="AA118" s="362">
        <v>0</v>
      </c>
      <c r="AB118" s="359"/>
      <c r="AC118" s="362">
        <v>0</v>
      </c>
      <c r="AD118" s="359"/>
      <c r="AE118" s="362">
        <v>0</v>
      </c>
      <c r="AF118" s="363"/>
    </row>
    <row r="119" spans="1:32" ht="70.5" hidden="1" outlineLevel="1" collapsed="1" x14ac:dyDescent="0.35">
      <c r="A119" s="364"/>
      <c r="B119" s="360"/>
      <c r="C119" s="365"/>
      <c r="D119" s="360"/>
      <c r="E119" s="360" t="s">
        <v>509</v>
      </c>
      <c r="F119" s="365" t="s">
        <v>514</v>
      </c>
      <c r="G119" s="360"/>
      <c r="H119" s="366">
        <v>0</v>
      </c>
      <c r="I119" s="360"/>
      <c r="J119" s="366">
        <v>0</v>
      </c>
      <c r="K119" s="360"/>
      <c r="L119" s="366">
        <v>0</v>
      </c>
      <c r="M119" s="360"/>
      <c r="N119" s="366">
        <v>0</v>
      </c>
      <c r="O119" s="360"/>
      <c r="P119" s="366">
        <v>0</v>
      </c>
      <c r="Q119" s="360"/>
      <c r="R119" s="366">
        <v>0</v>
      </c>
      <c r="S119" s="367"/>
      <c r="T119" s="360"/>
      <c r="U119" s="366">
        <v>1190000</v>
      </c>
      <c r="V119" s="360"/>
      <c r="W119" s="366">
        <v>0</v>
      </c>
      <c r="X119" s="360"/>
      <c r="Y119" s="366">
        <v>0</v>
      </c>
      <c r="Z119" s="360"/>
      <c r="AA119" s="366">
        <v>0</v>
      </c>
      <c r="AB119" s="360"/>
      <c r="AC119" s="366">
        <v>0</v>
      </c>
      <c r="AD119" s="360"/>
      <c r="AE119" s="366">
        <v>0</v>
      </c>
      <c r="AF119" s="367" t="s">
        <v>621</v>
      </c>
    </row>
    <row r="120" spans="1:32" ht="17.649999999999999" collapsed="1" x14ac:dyDescent="0.35">
      <c r="A120" s="364"/>
      <c r="B120" s="360" t="s">
        <v>473</v>
      </c>
      <c r="C120" s="365" t="s">
        <v>474</v>
      </c>
      <c r="D120" s="365"/>
      <c r="E120" s="365"/>
      <c r="F120" s="365"/>
      <c r="G120" s="359"/>
      <c r="H120" s="362">
        <v>1784000</v>
      </c>
      <c r="I120" s="359"/>
      <c r="J120" s="362">
        <v>0</v>
      </c>
      <c r="K120" s="359"/>
      <c r="L120" s="362">
        <v>0</v>
      </c>
      <c r="M120" s="359"/>
      <c r="N120" s="362">
        <v>0</v>
      </c>
      <c r="O120" s="359"/>
      <c r="P120" s="362">
        <v>0</v>
      </c>
      <c r="Q120" s="359"/>
      <c r="R120" s="362">
        <v>0</v>
      </c>
      <c r="S120" s="363"/>
      <c r="T120" s="359"/>
      <c r="U120" s="362">
        <v>0</v>
      </c>
      <c r="V120" s="359"/>
      <c r="W120" s="362">
        <v>0</v>
      </c>
      <c r="X120" s="359"/>
      <c r="Y120" s="362">
        <v>0</v>
      </c>
      <c r="Z120" s="359"/>
      <c r="AA120" s="362">
        <v>0</v>
      </c>
      <c r="AB120" s="359"/>
      <c r="AC120" s="362">
        <v>0</v>
      </c>
      <c r="AD120" s="359"/>
      <c r="AE120" s="362">
        <v>0</v>
      </c>
      <c r="AF120" s="363"/>
    </row>
    <row r="121" spans="1:32" ht="105.75" hidden="1" outlineLevel="1" collapsed="1" x14ac:dyDescent="0.35">
      <c r="A121" s="364"/>
      <c r="B121" s="360"/>
      <c r="C121" s="365"/>
      <c r="D121" s="360"/>
      <c r="E121" s="360" t="s">
        <v>509</v>
      </c>
      <c r="F121" s="365" t="s">
        <v>510</v>
      </c>
      <c r="G121" s="360"/>
      <c r="H121" s="366">
        <v>1784000</v>
      </c>
      <c r="I121" s="360"/>
      <c r="J121" s="366">
        <v>0</v>
      </c>
      <c r="K121" s="360"/>
      <c r="L121" s="366">
        <v>0</v>
      </c>
      <c r="M121" s="360"/>
      <c r="N121" s="366">
        <v>0</v>
      </c>
      <c r="O121" s="360"/>
      <c r="P121" s="366">
        <v>0</v>
      </c>
      <c r="Q121" s="360"/>
      <c r="R121" s="366">
        <v>0</v>
      </c>
      <c r="S121" s="367" t="s">
        <v>622</v>
      </c>
      <c r="T121" s="360"/>
      <c r="U121" s="366">
        <v>0</v>
      </c>
      <c r="V121" s="360"/>
      <c r="W121" s="366">
        <v>0</v>
      </c>
      <c r="X121" s="360"/>
      <c r="Y121" s="366">
        <v>0</v>
      </c>
      <c r="Z121" s="360"/>
      <c r="AA121" s="366">
        <v>0</v>
      </c>
      <c r="AB121" s="360"/>
      <c r="AC121" s="366">
        <v>0</v>
      </c>
      <c r="AD121" s="360"/>
      <c r="AE121" s="366">
        <v>0</v>
      </c>
      <c r="AF121" s="367" t="s">
        <v>623</v>
      </c>
    </row>
    <row r="122" spans="1:32" ht="17.649999999999999" collapsed="1" x14ac:dyDescent="0.35">
      <c r="A122" s="364"/>
      <c r="B122" s="360" t="s">
        <v>412</v>
      </c>
      <c r="C122" s="365" t="s">
        <v>413</v>
      </c>
      <c r="D122" s="365"/>
      <c r="E122" s="365"/>
      <c r="F122" s="365"/>
      <c r="G122" s="359"/>
      <c r="H122" s="362">
        <v>3902397</v>
      </c>
      <c r="I122" s="359"/>
      <c r="J122" s="362">
        <v>0</v>
      </c>
      <c r="K122" s="359"/>
      <c r="L122" s="362">
        <v>0</v>
      </c>
      <c r="M122" s="359"/>
      <c r="N122" s="362">
        <v>0</v>
      </c>
      <c r="O122" s="359"/>
      <c r="P122" s="362">
        <v>0</v>
      </c>
      <c r="Q122" s="359"/>
      <c r="R122" s="362">
        <v>0</v>
      </c>
      <c r="S122" s="363"/>
      <c r="T122" s="359"/>
      <c r="U122" s="362">
        <v>3902400</v>
      </c>
      <c r="V122" s="359"/>
      <c r="W122" s="362">
        <v>0</v>
      </c>
      <c r="X122" s="359"/>
      <c r="Y122" s="362">
        <v>0</v>
      </c>
      <c r="Z122" s="359"/>
      <c r="AA122" s="362">
        <v>0</v>
      </c>
      <c r="AB122" s="359"/>
      <c r="AC122" s="362">
        <v>0</v>
      </c>
      <c r="AD122" s="359"/>
      <c r="AE122" s="362">
        <v>0</v>
      </c>
      <c r="AF122" s="363"/>
    </row>
    <row r="123" spans="1:32" ht="70.5" hidden="1" outlineLevel="1" collapsed="1" x14ac:dyDescent="0.35">
      <c r="A123" s="364"/>
      <c r="B123" s="360"/>
      <c r="C123" s="365"/>
      <c r="D123" s="360"/>
      <c r="E123" s="360" t="s">
        <v>509</v>
      </c>
      <c r="F123" s="365" t="s">
        <v>510</v>
      </c>
      <c r="G123" s="360"/>
      <c r="H123" s="366">
        <v>3902397</v>
      </c>
      <c r="I123" s="360"/>
      <c r="J123" s="366">
        <v>0</v>
      </c>
      <c r="K123" s="360"/>
      <c r="L123" s="366">
        <v>0</v>
      </c>
      <c r="M123" s="360"/>
      <c r="N123" s="366">
        <v>0</v>
      </c>
      <c r="O123" s="360"/>
      <c r="P123" s="366">
        <v>0</v>
      </c>
      <c r="Q123" s="360"/>
      <c r="R123" s="366">
        <v>0</v>
      </c>
      <c r="S123" s="367" t="s">
        <v>624</v>
      </c>
      <c r="T123" s="360"/>
      <c r="U123" s="366">
        <v>3902400</v>
      </c>
      <c r="V123" s="360"/>
      <c r="W123" s="366">
        <v>0</v>
      </c>
      <c r="X123" s="360"/>
      <c r="Y123" s="366">
        <v>0</v>
      </c>
      <c r="Z123" s="360"/>
      <c r="AA123" s="366">
        <v>0</v>
      </c>
      <c r="AB123" s="360"/>
      <c r="AC123" s="366">
        <v>0</v>
      </c>
      <c r="AD123" s="360"/>
      <c r="AE123" s="366">
        <v>0</v>
      </c>
      <c r="AF123" s="367" t="s">
        <v>625</v>
      </c>
    </row>
    <row r="124" spans="1:32" ht="35.25" collapsed="1" x14ac:dyDescent="0.35">
      <c r="A124" s="364"/>
      <c r="B124" s="360" t="s">
        <v>477</v>
      </c>
      <c r="C124" s="365" t="s">
        <v>478</v>
      </c>
      <c r="D124" s="365"/>
      <c r="E124" s="365"/>
      <c r="F124" s="365"/>
      <c r="G124" s="359"/>
      <c r="H124" s="362">
        <v>6400000</v>
      </c>
      <c r="I124" s="359"/>
      <c r="J124" s="362">
        <v>0</v>
      </c>
      <c r="K124" s="359"/>
      <c r="L124" s="362">
        <v>0</v>
      </c>
      <c r="M124" s="359"/>
      <c r="N124" s="362">
        <v>0</v>
      </c>
      <c r="O124" s="359"/>
      <c r="P124" s="362">
        <v>0</v>
      </c>
      <c r="Q124" s="359"/>
      <c r="R124" s="362">
        <v>0</v>
      </c>
      <c r="S124" s="363"/>
      <c r="T124" s="359"/>
      <c r="U124" s="362">
        <v>0</v>
      </c>
      <c r="V124" s="359"/>
      <c r="W124" s="362">
        <v>0</v>
      </c>
      <c r="X124" s="359"/>
      <c r="Y124" s="362">
        <v>0</v>
      </c>
      <c r="Z124" s="359"/>
      <c r="AA124" s="362">
        <v>0</v>
      </c>
      <c r="AB124" s="359"/>
      <c r="AC124" s="362">
        <v>0</v>
      </c>
      <c r="AD124" s="359"/>
      <c r="AE124" s="362">
        <v>0</v>
      </c>
      <c r="AF124" s="363"/>
    </row>
    <row r="125" spans="1:32" ht="409.5" hidden="1" outlineLevel="1" collapsed="1" x14ac:dyDescent="0.35">
      <c r="A125" s="364"/>
      <c r="B125" s="360"/>
      <c r="C125" s="365"/>
      <c r="D125" s="360"/>
      <c r="E125" s="360" t="s">
        <v>509</v>
      </c>
      <c r="F125" s="365" t="s">
        <v>510</v>
      </c>
      <c r="G125" s="360"/>
      <c r="H125" s="366">
        <v>6400000</v>
      </c>
      <c r="I125" s="360"/>
      <c r="J125" s="366">
        <v>0</v>
      </c>
      <c r="K125" s="360"/>
      <c r="L125" s="366">
        <v>0</v>
      </c>
      <c r="M125" s="360"/>
      <c r="N125" s="366">
        <v>0</v>
      </c>
      <c r="O125" s="360"/>
      <c r="P125" s="366">
        <v>0</v>
      </c>
      <c r="Q125" s="360"/>
      <c r="R125" s="366">
        <v>0</v>
      </c>
      <c r="S125" s="367" t="s">
        <v>626</v>
      </c>
      <c r="T125" s="360"/>
      <c r="U125" s="366">
        <v>0</v>
      </c>
      <c r="V125" s="360"/>
      <c r="W125" s="366">
        <v>0</v>
      </c>
      <c r="X125" s="360"/>
      <c r="Y125" s="366">
        <v>0</v>
      </c>
      <c r="Z125" s="360"/>
      <c r="AA125" s="366">
        <v>0</v>
      </c>
      <c r="AB125" s="360"/>
      <c r="AC125" s="366">
        <v>0</v>
      </c>
      <c r="AD125" s="360"/>
      <c r="AE125" s="366">
        <v>0</v>
      </c>
      <c r="AF125" s="367" t="s">
        <v>623</v>
      </c>
    </row>
    <row r="126" spans="1:32" ht="35.25" collapsed="1" x14ac:dyDescent="0.35">
      <c r="A126" s="364"/>
      <c r="B126" s="360" t="s">
        <v>419</v>
      </c>
      <c r="C126" s="365" t="s">
        <v>627</v>
      </c>
      <c r="D126" s="365"/>
      <c r="E126" s="365"/>
      <c r="F126" s="365"/>
      <c r="G126" s="359"/>
      <c r="H126" s="362">
        <v>0</v>
      </c>
      <c r="I126" s="359"/>
      <c r="J126" s="362">
        <v>0</v>
      </c>
      <c r="K126" s="359"/>
      <c r="L126" s="362">
        <v>0</v>
      </c>
      <c r="M126" s="359"/>
      <c r="N126" s="362">
        <v>0</v>
      </c>
      <c r="O126" s="359"/>
      <c r="P126" s="362">
        <v>0</v>
      </c>
      <c r="Q126" s="359"/>
      <c r="R126" s="362">
        <v>0</v>
      </c>
      <c r="S126" s="363"/>
      <c r="T126" s="359"/>
      <c r="U126" s="362">
        <v>13369200</v>
      </c>
      <c r="V126" s="359"/>
      <c r="W126" s="362">
        <v>0</v>
      </c>
      <c r="X126" s="359"/>
      <c r="Y126" s="362">
        <v>0</v>
      </c>
      <c r="Z126" s="359"/>
      <c r="AA126" s="362">
        <v>0</v>
      </c>
      <c r="AB126" s="359"/>
      <c r="AC126" s="362">
        <v>0</v>
      </c>
      <c r="AD126" s="359"/>
      <c r="AE126" s="362">
        <v>0</v>
      </c>
      <c r="AF126" s="363"/>
    </row>
    <row r="127" spans="1:32" ht="88.15" hidden="1" outlineLevel="1" collapsed="1" x14ac:dyDescent="0.35">
      <c r="A127" s="364"/>
      <c r="B127" s="360"/>
      <c r="C127" s="365"/>
      <c r="D127" s="360"/>
      <c r="E127" s="360" t="s">
        <v>509</v>
      </c>
      <c r="F127" s="365" t="s">
        <v>514</v>
      </c>
      <c r="G127" s="360"/>
      <c r="H127" s="366">
        <v>0</v>
      </c>
      <c r="I127" s="360"/>
      <c r="J127" s="366">
        <v>0</v>
      </c>
      <c r="K127" s="360"/>
      <c r="L127" s="366">
        <v>0</v>
      </c>
      <c r="M127" s="360"/>
      <c r="N127" s="366">
        <v>0</v>
      </c>
      <c r="O127" s="360"/>
      <c r="P127" s="366">
        <v>0</v>
      </c>
      <c r="Q127" s="360"/>
      <c r="R127" s="366">
        <v>0</v>
      </c>
      <c r="S127" s="367"/>
      <c r="T127" s="360"/>
      <c r="U127" s="366">
        <v>13369200</v>
      </c>
      <c r="V127" s="360"/>
      <c r="W127" s="366">
        <v>0</v>
      </c>
      <c r="X127" s="360"/>
      <c r="Y127" s="366">
        <v>0</v>
      </c>
      <c r="Z127" s="360"/>
      <c r="AA127" s="366">
        <v>0</v>
      </c>
      <c r="AB127" s="360"/>
      <c r="AC127" s="366">
        <v>0</v>
      </c>
      <c r="AD127" s="360"/>
      <c r="AE127" s="366">
        <v>0</v>
      </c>
      <c r="AF127" s="367" t="s">
        <v>628</v>
      </c>
    </row>
    <row r="128" spans="1:32" ht="17.649999999999999" x14ac:dyDescent="0.35">
      <c r="A128" s="876" t="s">
        <v>482</v>
      </c>
      <c r="B128" s="877"/>
      <c r="C128" s="878"/>
      <c r="D128" s="369"/>
      <c r="E128" s="369"/>
      <c r="F128" s="369"/>
      <c r="G128" s="370">
        <v>59</v>
      </c>
      <c r="H128" s="371">
        <v>109818164</v>
      </c>
      <c r="I128" s="370"/>
      <c r="J128" s="371">
        <v>111231035</v>
      </c>
      <c r="K128" s="370"/>
      <c r="L128" s="371">
        <v>0</v>
      </c>
      <c r="M128" s="370"/>
      <c r="N128" s="371">
        <v>0</v>
      </c>
      <c r="O128" s="370"/>
      <c r="P128" s="371">
        <v>0</v>
      </c>
      <c r="Q128" s="370"/>
      <c r="R128" s="371">
        <v>0</v>
      </c>
      <c r="S128" s="372"/>
      <c r="T128" s="373">
        <v>56</v>
      </c>
      <c r="U128" s="374">
        <v>36576000</v>
      </c>
      <c r="V128" s="373"/>
      <c r="W128" s="374">
        <v>65511900</v>
      </c>
      <c r="X128" s="373"/>
      <c r="Y128" s="374">
        <v>0</v>
      </c>
      <c r="Z128" s="373"/>
      <c r="AA128" s="374">
        <v>0</v>
      </c>
      <c r="AB128" s="373"/>
      <c r="AC128" s="374">
        <v>0</v>
      </c>
      <c r="AD128" s="373"/>
      <c r="AE128" s="374">
        <v>0</v>
      </c>
      <c r="AF128" s="375"/>
    </row>
  </sheetData>
  <mergeCells count="36">
    <mergeCell ref="B95:C95"/>
    <mergeCell ref="B98:C98"/>
    <mergeCell ref="B101:C101"/>
    <mergeCell ref="A128:C128"/>
    <mergeCell ref="A28:C28"/>
    <mergeCell ref="A78:C78"/>
    <mergeCell ref="A82:C82"/>
    <mergeCell ref="A83:C83"/>
    <mergeCell ref="B84:C84"/>
    <mergeCell ref="B89:C89"/>
    <mergeCell ref="A9:C9"/>
    <mergeCell ref="G5:R5"/>
    <mergeCell ref="T5:AE5"/>
    <mergeCell ref="G6:H6"/>
    <mergeCell ref="I6:J6"/>
    <mergeCell ref="K6:L6"/>
    <mergeCell ref="M6:N6"/>
    <mergeCell ref="O6:P6"/>
    <mergeCell ref="Q6:R6"/>
    <mergeCell ref="T6:U6"/>
    <mergeCell ref="V6:W6"/>
    <mergeCell ref="X6:Y6"/>
    <mergeCell ref="Z6:AA6"/>
    <mergeCell ref="AB6:AC6"/>
    <mergeCell ref="AD6:AE6"/>
    <mergeCell ref="A8:C8"/>
    <mergeCell ref="A1:AE1"/>
    <mergeCell ref="A2:AE2"/>
    <mergeCell ref="A3:AE3"/>
    <mergeCell ref="A4:AE4"/>
    <mergeCell ref="A5:A6"/>
    <mergeCell ref="B5:B6"/>
    <mergeCell ref="C5:C6"/>
    <mergeCell ref="D5:D6"/>
    <mergeCell ref="E5:E6"/>
    <mergeCell ref="F5:F6"/>
  </mergeCells>
  <pageMargins left="1" right="1" top="1" bottom="1" header="1" footer="1"/>
  <pageSetup orientation="portrait" horizontalDpi="0" verticalDpi="0"/>
  <headerFooter alignWithMargins="0">
    <oddFooter>&amp;L&amp;C&amp;R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คำขอปึ70</vt:lpstr>
      <vt:lpstr>คำขอปึ70 (หัวข้อแบบเสนอ ผผ)</vt:lpstr>
      <vt:lpstr>คำขอปึ70คชจ</vt:lpstr>
      <vt:lpstr>คำขอปึ70ครุภัณฑ์</vt:lpstr>
      <vt:lpstr>สรุปใช้งบ 31กค</vt:lpstr>
      <vt:lpstr>ผลพิ69-สรุป</vt:lpstr>
      <vt:lpstr>Dataผลพิปี69</vt:lpstr>
      <vt:lpstr>คำขอปึ70!Print_Area</vt:lpstr>
      <vt:lpstr>'คำขอปึ70 (หัวข้อแบบเสนอ ผผ)'!Print_Area</vt:lpstr>
      <vt:lpstr>คำขอปึ70คชจ!Print_Area</vt:lpstr>
      <vt:lpstr>คำขอปึ70ครุภัณฑ์!Print_Area</vt:lpstr>
      <vt:lpstr>คำขอปึ70!Print_Titles</vt:lpstr>
      <vt:lpstr>'คำขอปึ70 (หัวข้อแบบเสนอ ผผ)'!Print_Titles</vt:lpstr>
      <vt:lpstr>คำขอปึ70คชจ!Print_Titles</vt:lpstr>
      <vt:lpstr>คำขอปึ70ครุภัณฑ์!Print_Titles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Pinpanor Piriyavuttikul (พิณทร์พนอ พิริยะวุฒิกุล)</dc:creator>
  <cp:keywords/>
  <dc:description/>
  <cp:lastModifiedBy>Rohman Hanirae (เร๊าะมัน หะนิแร)</cp:lastModifiedBy>
  <cp:revision/>
  <cp:lastPrinted>2026-08-14T07:42:09Z</cp:lastPrinted>
  <dcterms:created xsi:type="dcterms:W3CDTF">2026-07-24T09:26:36Z</dcterms:created>
  <dcterms:modified xsi:type="dcterms:W3CDTF">2026-08-14T09:30:05Z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7ef099a-7fa4-4e34-953d-f6f34188ebfd_Enabled">
    <vt:lpwstr>true</vt:lpwstr>
  </property>
  <property fmtid="{D5CDD505-2E9C-101B-9397-08002B2CF9AE}" pid="3" name="MSIP_Label_57ef099a-7fa4-4e34-953d-f6f34188ebfd_SetDate">
    <vt:lpwstr>2026-07-24T09:28:48Z</vt:lpwstr>
  </property>
  <property fmtid="{D5CDD505-2E9C-101B-9397-08002B2CF9AE}" pid="4" name="MSIP_Label_57ef099a-7fa4-4e34-953d-f6f34188ebfd_Method">
    <vt:lpwstr>Privileged</vt:lpwstr>
  </property>
  <property fmtid="{D5CDD505-2E9C-101B-9397-08002B2CF9AE}" pid="5" name="MSIP_Label_57ef099a-7fa4-4e34-953d-f6f34188ebfd_Name">
    <vt:lpwstr>Internal</vt:lpwstr>
  </property>
  <property fmtid="{D5CDD505-2E9C-101B-9397-08002B2CF9AE}" pid="6" name="MSIP_Label_57ef099a-7fa4-4e34-953d-f6f34188ebfd_SiteId">
    <vt:lpwstr>db27cba9-535b-4797-bd0b-1b1d889f3898</vt:lpwstr>
  </property>
  <property fmtid="{D5CDD505-2E9C-101B-9397-08002B2CF9AE}" pid="7" name="MSIP_Label_57ef099a-7fa4-4e34-953d-f6f34188ebfd_ActionId">
    <vt:lpwstr>11ec7be8-642a-4726-9c46-cac366c0c028</vt:lpwstr>
  </property>
  <property fmtid="{D5CDD505-2E9C-101B-9397-08002B2CF9AE}" pid="8" name="MSIP_Label_57ef099a-7fa4-4e34-953d-f6f34188ebfd_ContentBits">
    <vt:lpwstr>0</vt:lpwstr>
  </property>
  <property fmtid="{D5CDD505-2E9C-101B-9397-08002B2CF9AE}" pid="9" name="MSIP_Label_57ef099a-7fa4-4e34-953d-f6f34188ebfd_Tag">
    <vt:lpwstr>10, 0, 1, 1</vt:lpwstr>
  </property>
</Properties>
</file>